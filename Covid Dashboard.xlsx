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831"/>
  <workbookPr hidePivotFieldList="1"/>
  <mc:AlternateContent xmlns:mc="http://schemas.openxmlformats.org/markup-compatibility/2006">
    <mc:Choice Requires="x15">
      <x15ac:absPath xmlns:x15ac="http://schemas.microsoft.com/office/spreadsheetml/2010/11/ac" url="https://d.docs.live.net/ddfce7f52c658b06/Desktop/Excel/"/>
    </mc:Choice>
  </mc:AlternateContent>
  <xr:revisionPtr revIDLastSave="0" documentId="8_{0249C7D1-F559-4313-A145-97A85D9D4A7C}" xr6:coauthVersionLast="47" xr6:coauthVersionMax="47" xr10:uidLastSave="{00000000-0000-0000-0000-000000000000}"/>
  <bookViews>
    <workbookView xWindow="-108" yWindow="-108" windowWidth="23256" windowHeight="12456" xr2:uid="{00000000-000D-0000-FFFF-FFFF00000000}"/>
  </bookViews>
  <sheets>
    <sheet name="DashBoard" sheetId="18" r:id="rId1"/>
    <sheet name="Zone-Wise-Discharge-Ratio" sheetId="14" r:id="rId2"/>
    <sheet name="State-Wise-Death_ratio" sheetId="13" r:id="rId3"/>
    <sheet name="State-Wise-Population" sheetId="12" r:id="rId4"/>
    <sheet name="Zone-Wise-Population" sheetId="11" r:id="rId5"/>
    <sheet name="Zone_wise_death" sheetId="15" r:id="rId6"/>
    <sheet name="State_wise" sheetId="9" r:id="rId7"/>
    <sheet name="Data" sheetId="1" r:id="rId8"/>
  </sheets>
  <definedNames>
    <definedName name="Slicer_Death_Avg">#N/A</definedName>
    <definedName name="Slicer_Discharge_Avg">#N/A</definedName>
    <definedName name="Slicer_State_UTs">#N/A</definedName>
    <definedName name="Slicer_Zone">#N/A</definedName>
  </definedNames>
  <calcPr calcId="162913"/>
  <pivotCaches>
    <pivotCache cacheId="25"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<sst xmlns="http://schemas.openxmlformats.org/spreadsheetml/2006/main" count="295" uniqueCount="62">
  <si>
    <t>State/UTs</t>
  </si>
  <si>
    <t>Zone</t>
  </si>
  <si>
    <t>Total Cases</t>
  </si>
  <si>
    <t>Active</t>
  </si>
  <si>
    <t>Discharged</t>
  </si>
  <si>
    <t>Deaths</t>
  </si>
  <si>
    <t>Active Ratio</t>
  </si>
  <si>
    <t>Discharge Ratio</t>
  </si>
  <si>
    <t>Discharge Avg</t>
  </si>
  <si>
    <t>Death Ratio</t>
  </si>
  <si>
    <t>Death Avg</t>
  </si>
  <si>
    <t>Population</t>
  </si>
  <si>
    <t>Andaman and Nicobar</t>
  </si>
  <si>
    <t>South</t>
  </si>
  <si>
    <t>Andhra Pradesh</t>
  </si>
  <si>
    <t>Arunachal Pradesh</t>
  </si>
  <si>
    <t>East</t>
  </si>
  <si>
    <t>Assam</t>
  </si>
  <si>
    <t>Bihar</t>
  </si>
  <si>
    <t>Chandigarh</t>
  </si>
  <si>
    <t>North</t>
  </si>
  <si>
    <t>Chhattisgarh</t>
  </si>
  <si>
    <t>Daman and Diu</t>
  </si>
  <si>
    <t>West</t>
  </si>
  <si>
    <t>Delhi</t>
  </si>
  <si>
    <t>Goa</t>
  </si>
  <si>
    <t>Gujarat</t>
  </si>
  <si>
    <t>Haryana</t>
  </si>
  <si>
    <t>Himachal Pradesh</t>
  </si>
  <si>
    <t>Jammu and Kashmir</t>
  </si>
  <si>
    <t>Jharkhand</t>
  </si>
  <si>
    <t>Karnataka</t>
  </si>
  <si>
    <t>Kerala</t>
  </si>
  <si>
    <t>Ladakh</t>
  </si>
  <si>
    <t>Lakshadweep</t>
  </si>
  <si>
    <t>Madhya Pradesh</t>
  </si>
  <si>
    <t>Maharashtra</t>
  </si>
  <si>
    <t>Manipur</t>
  </si>
  <si>
    <t>Meghalaya</t>
  </si>
  <si>
    <t>Mizoram</t>
  </si>
  <si>
    <t>Nagaland</t>
  </si>
  <si>
    <t>Odisha</t>
  </si>
  <si>
    <t>Puducherry</t>
  </si>
  <si>
    <t>Punjab</t>
  </si>
  <si>
    <t>Rajasthan</t>
  </si>
  <si>
    <t>Sikkim</t>
  </si>
  <si>
    <t>Tamil Nadu</t>
  </si>
  <si>
    <t>Telengana</t>
  </si>
  <si>
    <t>Tripura</t>
  </si>
  <si>
    <t>Uttar Pradesh</t>
  </si>
  <si>
    <t>Uttarakhand</t>
  </si>
  <si>
    <t>West Bengal</t>
  </si>
  <si>
    <t>Row Labels</t>
  </si>
  <si>
    <t>Grand Total</t>
  </si>
  <si>
    <t>Sum of Discharge Ratio</t>
  </si>
  <si>
    <t>Sum of Death Ratio</t>
  </si>
  <si>
    <t>Below Average</t>
  </si>
  <si>
    <t>Above Average</t>
  </si>
  <si>
    <t>Sum of Total Cases</t>
  </si>
  <si>
    <t>Sum of Deaths</t>
  </si>
  <si>
    <t>Sum of Population</t>
  </si>
  <si>
    <t>COVID-19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</si>
</sst>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4"/>
      <color theme="1"/>
      <name val="Calibri"/>
      <family val="2"/>
      <scheme val="minor"/>
    </font>
    <font>
      <b/>
      <sz val="20"/>
      <color theme="2"/>
      <name val="Arial"/>
      <family val="2"/>
    </font>
  </fonts>
  <fills count="3">
    <fill>
      <patternFill patternType="none"/>
    </fill>
    <fill>
      <patternFill patternType="gray125"/>
    </fill>
    <fill>
      <patternFill patternType="solid">
        <fgColor theme="1" tint="0.34998626667073579"/>
        <bgColor indexed="64"/>
      </patternFill>
    </fill>
  </fills>
  <borders count="1">
    <border>
      <left/>
      <right/>
      <top/>
      <bottom/>
      <diagonal/>
    </border>
  </borders>
  <cellStyleXfs count="1">
    <xf numFmtId="0" fontId="0" fillId="0" borderId="0"/>
  </cellStyleXfs>
  <cellXfs count="8">
    <xf numFmtId="0" fontId="0" fillId="0" borderId="0" xfId="0"/>
    <xf numFmtId="0" fontId="2" fillId="0" borderId="0" xfId="0" applyFont="1"/>
    <xf numFmtId="0" fontId="0" fillId="0" borderId="0" xfId="0" pivotButton="1"/>
    <xf numFmtId="0" fontId="0" fillId="0" borderId="0" xfId="0" applyAlignment="1">
      <alignment horizontal="left"/>
    </xf>
    <xf numFmtId="0" fontId="0" fillId="0" borderId="0" xfId="0" applyNumberFormat="1"/>
    <xf numFmtId="0" fontId="0" fillId="2" borderId="0" xfId="0" applyFill="1" applyAlignment="1">
      <alignment horizontal="center" vertical="center"/>
    </xf>
    <xf numFmtId="0" fontId="3" fillId="2" borderId="0" xfId="0" applyFont="1" applyFill="1" applyAlignment="1">
      <alignment horizontal="center" vertical="center"/>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Dashboard.xlsx]Zone-Wise-Discharge-Ratio!PivotTable1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Zone-Wise</a:t>
            </a:r>
            <a:r>
              <a:rPr lang="en-US" baseline="0"/>
              <a:t> Discharge Ratio</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'Zone-Wise-Discharge-Ratio'!$B$3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'Zone-Wise-Discharge-Ratio'!$A$4:$A$8</c:f>
              <c:strCache>
                <c:ptCount val="4"/>
                <c:pt idx="0">
                  <c:v>East</c:v>
                </c:pt>
                <c:pt idx="1">
                  <c:v>North</c:v>
                </c:pt>
                <c:pt idx="2">
                  <c:v>South</c:v>
                </c:pt>
                <c:pt idx="3">
                  <c:v>West</c:v>
                </c:pt>
              </c:strCache>
            </c:strRef>
          </c:cat>
          <c:val>
            <c:numRef>
              <c:f>'Zone-Wise-Discharge-Ratio'!$B$4:$B$8</c:f>
              <c:numCache>
                <c:formatCode>General</c:formatCode>
                <c:ptCount val="4"/>
                <c:pt idx="0">
                  <c:v>1276.5200000000002</c:v>
                </c:pt>
                <c:pt idx="1">
                  <c:v>883.6</c:v>
                </c:pt>
                <c:pt idx="2">
                  <c:v>788.75</c:v>
                </c:pt>
                <c:pt idx="3">
                  <c:v>592.01999999999987</c:v>
                </c:pt>
              </c:numCache>
            </c:numRef>
          </c:val>
          <c:extLst>
            <c:ext xmlns:c16="http://schemas.microsoft.com/office/drawing/2014/chart" uri="{C3380CC4-5D6E-409C-BE32-E72D297353CC}">
              <c16:uniqueId val="{00000000-A56D-4980-A05E-10515AB15291}"/>
            </c:ext>
          </c:extLst>
        </c:ser>
        <c:dLbls>
          <c:showLegendKey val="0"/>
          <c:showVal val="0"/>
          <c:showCatName val="0"/>
          <c:showSerName val="0"/>
          <c:showPercent val="0"/>
          <c:showBubbleSize val="0"/>
        </c:dLbls>
        <c:gapWidth val="150"/>
        <c:overlap val="100"/>
        <c:axId val="743254799"/>
        <c:axId val="743253135"/>
      </c:barChart>
      <c:catAx>
        <c:axId val="7432547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3253135"/>
        <c:crosses val="autoZero"/>
        <c:auto val="1"/>
        <c:lblAlgn val="ctr"/>
        <c:lblOffset val="100"/>
        <c:noMultiLvlLbl val="0"/>
      </c:catAx>
      <c:valAx>
        <c:axId val="7432531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3254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Dashboard.xlsx]State-Wise-Death_ratio!PivotTable1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State-Wise</a:t>
            </a:r>
            <a:r>
              <a:rPr lang="en-US" baseline="0"/>
              <a:t> Death Ratio</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'State-Wise-Death_ratio'!$B$3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'State-Wise-Death_ratio'!$A$4:$A$40</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'State-Wise-Death_ratio'!$B$4:$B$40</c:f>
              <c:numCache>
                <c:formatCode>General</c:formatCode>
                <c:ptCount val="36"/>
                <c:pt idx="0">
                  <c:v>1.68</c:v>
                </c:pt>
                <c:pt idx="1">
                  <c:v>0.7</c:v>
                </c:pt>
                <c:pt idx="2">
                  <c:v>0.51</c:v>
                </c:pt>
                <c:pt idx="3">
                  <c:v>0.99</c:v>
                </c:pt>
                <c:pt idx="4">
                  <c:v>1.33</c:v>
                </c:pt>
                <c:pt idx="5">
                  <c:v>1.25</c:v>
                </c:pt>
                <c:pt idx="6">
                  <c:v>1.35</c:v>
                </c:pt>
                <c:pt idx="7">
                  <c:v>0.04</c:v>
                </c:pt>
                <c:pt idx="8">
                  <c:v>1.74</c:v>
                </c:pt>
                <c:pt idx="9">
                  <c:v>1.89</c:v>
                </c:pt>
                <c:pt idx="10">
                  <c:v>1.22</c:v>
                </c:pt>
                <c:pt idx="11">
                  <c:v>1.3</c:v>
                </c:pt>
                <c:pt idx="12">
                  <c:v>1.69</c:v>
                </c:pt>
                <c:pt idx="13">
                  <c:v>1.33</c:v>
                </c:pt>
                <c:pt idx="14">
                  <c:v>1.47</c:v>
                </c:pt>
                <c:pt idx="15">
                  <c:v>1.27</c:v>
                </c:pt>
                <c:pt idx="16">
                  <c:v>0.71</c:v>
                </c:pt>
                <c:pt idx="17">
                  <c:v>1</c:v>
                </c:pt>
                <c:pt idx="18">
                  <c:v>0.49</c:v>
                </c:pt>
                <c:pt idx="19">
                  <c:v>1.33</c:v>
                </c:pt>
                <c:pt idx="20">
                  <c:v>2.12</c:v>
                </c:pt>
                <c:pt idx="21">
                  <c:v>1.56</c:v>
                </c:pt>
                <c:pt idx="22">
                  <c:v>1.74</c:v>
                </c:pt>
                <c:pt idx="23">
                  <c:v>0.36</c:v>
                </c:pt>
                <c:pt idx="24">
                  <c:v>2.16</c:v>
                </c:pt>
                <c:pt idx="25">
                  <c:v>0.8</c:v>
                </c:pt>
                <c:pt idx="26">
                  <c:v>1.45</c:v>
                </c:pt>
                <c:pt idx="27">
                  <c:v>2.75</c:v>
                </c:pt>
                <c:pt idx="28">
                  <c:v>0.94</c:v>
                </c:pt>
                <c:pt idx="29">
                  <c:v>1.25</c:v>
                </c:pt>
                <c:pt idx="30">
                  <c:v>1.34</c:v>
                </c:pt>
                <c:pt idx="31">
                  <c:v>0.59</c:v>
                </c:pt>
                <c:pt idx="32">
                  <c:v>0.96</c:v>
                </c:pt>
                <c:pt idx="33">
                  <c:v>1.34</c:v>
                </c:pt>
                <c:pt idx="34">
                  <c:v>2.15</c:v>
                </c:pt>
                <c:pt idx="35">
                  <c:v>1.2</c:v>
                </c:pt>
              </c:numCache>
            </c:numRef>
          </c:val>
          <c:extLst>
            <c:ext xmlns:c16="http://schemas.microsoft.com/office/drawing/2014/chart" uri="{C3380CC4-5D6E-409C-BE32-E72D297353CC}">
              <c16:uniqueId val="{00000000-5618-40AB-80E1-2493E74B3C20}"/>
            </c:ext>
          </c:extLst>
        </c:ser>
        <c:dLbls>
          <c:showLegendKey val="0"/>
          <c:showVal val="0"/>
          <c:showCatName val="0"/>
          <c:showSerName val="0"/>
          <c:showPercent val="0"/>
          <c:showBubbleSize val="0"/>
        </c:dLbls>
        <c:axId val="743254799"/>
        <c:axId val="743253135"/>
        <c:axId val="0"/>
      </c:area3DChart>
      <c:catAx>
        <c:axId val="743254799"/>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3253135"/>
        <c:crosses val="autoZero"/>
        <c:auto val="1"/>
        <c:lblAlgn val="ctr"/>
        <c:lblOffset val="100"/>
        <c:noMultiLvlLbl val="0"/>
      </c:catAx>
      <c:valAx>
        <c:axId val="74325313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32547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Dashboard.xlsx]State-Wise-Population!PivotTable1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State-wise</a:t>
            </a:r>
            <a:r>
              <a:rPr lang="en-US" baseline="0"/>
              <a:t> Population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'State-Wise-Population'!$B$3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'State-Wise-Population'!$A$4:$A$40</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'State-Wise-Population'!$B$4:$B$40</c:f>
              <c:numCache>
                <c:formatCode>General</c:formatCode>
                <c:ptCount val="36"/>
                <c:pt idx="0">
                  <c:v>399001</c:v>
                </c:pt>
                <c:pt idx="1">
                  <c:v>91702478</c:v>
                </c:pt>
                <c:pt idx="2">
                  <c:v>1711947</c:v>
                </c:pt>
                <c:pt idx="3">
                  <c:v>35998752</c:v>
                </c:pt>
                <c:pt idx="4">
                  <c:v>128500364</c:v>
                </c:pt>
                <c:pt idx="5">
                  <c:v>1158040</c:v>
                </c:pt>
                <c:pt idx="6">
                  <c:v>32199722</c:v>
                </c:pt>
                <c:pt idx="7">
                  <c:v>773997</c:v>
                </c:pt>
                <c:pt idx="8">
                  <c:v>19301096</c:v>
                </c:pt>
                <c:pt idx="9">
                  <c:v>1521992</c:v>
                </c:pt>
                <c:pt idx="10">
                  <c:v>70400153</c:v>
                </c:pt>
                <c:pt idx="11">
                  <c:v>28900667</c:v>
                </c:pt>
                <c:pt idx="12">
                  <c:v>7503010</c:v>
                </c:pt>
                <c:pt idx="13">
                  <c:v>14999397</c:v>
                </c:pt>
                <c:pt idx="14">
                  <c:v>40100376</c:v>
                </c:pt>
                <c:pt idx="15">
                  <c:v>69599762</c:v>
                </c:pt>
                <c:pt idx="16">
                  <c:v>34698876</c:v>
                </c:pt>
                <c:pt idx="17">
                  <c:v>290492</c:v>
                </c:pt>
                <c:pt idx="18">
                  <c:v>66001</c:v>
                </c:pt>
                <c:pt idx="19">
                  <c:v>85002417</c:v>
                </c:pt>
                <c:pt idx="20">
                  <c:v>124904071</c:v>
                </c:pt>
                <c:pt idx="21">
                  <c:v>3436948</c:v>
                </c:pt>
                <c:pt idx="22">
                  <c:v>3772103</c:v>
                </c:pt>
                <c:pt idx="23">
                  <c:v>1308967</c:v>
                </c:pt>
                <c:pt idx="24">
                  <c:v>2073074</c:v>
                </c:pt>
                <c:pt idx="25">
                  <c:v>47099270</c:v>
                </c:pt>
                <c:pt idx="26">
                  <c:v>1646050</c:v>
                </c:pt>
                <c:pt idx="27">
                  <c:v>30501026</c:v>
                </c:pt>
                <c:pt idx="28">
                  <c:v>79502477</c:v>
                </c:pt>
                <c:pt idx="29">
                  <c:v>658019</c:v>
                </c:pt>
                <c:pt idx="30">
                  <c:v>83697770</c:v>
                </c:pt>
                <c:pt idx="31">
                  <c:v>38157311</c:v>
                </c:pt>
                <c:pt idx="32">
                  <c:v>4184959</c:v>
                </c:pt>
                <c:pt idx="33">
                  <c:v>231502578</c:v>
                </c:pt>
                <c:pt idx="34">
                  <c:v>11700099</c:v>
                </c:pt>
                <c:pt idx="35">
                  <c:v>100896618</c:v>
                </c:pt>
              </c:numCache>
            </c:numRef>
          </c:val>
          <c:extLst>
            <c:ext xmlns:c16="http://schemas.microsoft.com/office/drawing/2014/chart" uri="{C3380CC4-5D6E-409C-BE32-E72D297353CC}">
              <c16:uniqueId val="{00000000-A6DE-4531-B640-6F730F6CF69D}"/>
            </c:ext>
          </c:extLst>
        </c:ser>
        <c:dLbls>
          <c:showLegendKey val="0"/>
          <c:showVal val="0"/>
          <c:showCatName val="0"/>
          <c:showSerName val="0"/>
          <c:showPercent val="0"/>
          <c:showBubbleSize val="0"/>
        </c:dLbls>
        <c:gapWidth val="150"/>
        <c:overlap val="100"/>
        <c:axId val="743254799"/>
        <c:axId val="743253135"/>
      </c:barChart>
      <c:catAx>
        <c:axId val="7432547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3253135"/>
        <c:crosses val="autoZero"/>
        <c:auto val="1"/>
        <c:lblAlgn val="ctr"/>
        <c:lblOffset val="100"/>
        <c:noMultiLvlLbl val="0"/>
      </c:catAx>
      <c:valAx>
        <c:axId val="7432531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3254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Dashboard.xlsx]Zone-Wise-Population!PivotTable1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Zone-Wise</a:t>
            </a:r>
            <a:r>
              <a:rPr lang="en-US" baseline="0"/>
              <a:t> </a:t>
            </a:r>
            <a:r>
              <a:rPr lang="en-US"/>
              <a:t>Population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'Zone-Wise-Population'!$B$3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'Zone-Wise-Population'!$A$4:$A$8</c:f>
              <c:strCache>
                <c:ptCount val="4"/>
                <c:pt idx="0">
                  <c:v>East</c:v>
                </c:pt>
                <c:pt idx="1">
                  <c:v>North</c:v>
                </c:pt>
                <c:pt idx="2">
                  <c:v>South</c:v>
                </c:pt>
                <c:pt idx="3">
                  <c:v>West</c:v>
                </c:pt>
              </c:strCache>
            </c:strRef>
          </c:cat>
          <c:val>
            <c:numRef>
              <c:f>'Zone-Wise-Population'!$B$4:$B$8</c:f>
              <c:numCache>
                <c:formatCode>General</c:formatCode>
                <c:ptCount val="4"/>
                <c:pt idx="0">
                  <c:v>401941119</c:v>
                </c:pt>
                <c:pt idx="1">
                  <c:v>345856405</c:v>
                </c:pt>
                <c:pt idx="2">
                  <c:v>319967249</c:v>
                </c:pt>
                <c:pt idx="3">
                  <c:v>362105107</c:v>
                </c:pt>
              </c:numCache>
            </c:numRef>
          </c:val>
          <c:extLst>
            <c:ext xmlns:c16="http://schemas.microsoft.com/office/drawing/2014/chart" uri="{C3380CC4-5D6E-409C-BE32-E72D297353CC}">
              <c16:uniqueId val="{00000000-B726-4728-95C8-DFA0E98AF9E4}"/>
            </c:ext>
          </c:extLst>
        </c:ser>
        <c:dLbls>
          <c:showLegendKey val="0"/>
          <c:showVal val="0"/>
          <c:showCatName val="0"/>
          <c:showSerName val="0"/>
          <c:showPercent val="0"/>
          <c:showBubbleSize val="0"/>
        </c:dLbls>
        <c:gapWidth val="150"/>
        <c:shape val="box"/>
        <c:axId val="743254799"/>
        <c:axId val="743253135"/>
        <c:axId val="0"/>
      </c:bar3DChart>
      <c:catAx>
        <c:axId val="74325479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3253135"/>
        <c:crosses val="autoZero"/>
        <c:auto val="1"/>
        <c:lblAlgn val="ctr"/>
        <c:lblOffset val="100"/>
        <c:noMultiLvlLbl val="0"/>
      </c:catAx>
      <c:valAx>
        <c:axId val="74325313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3254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Dashboard.xlsx]Zone_wise_death!PivotTable1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Zone</a:t>
            </a:r>
            <a:r>
              <a:rPr lang="en-US" baseline="0"/>
              <a:t>-Wise Deaths</a:t>
            </a:r>
            <a:endParaRPr lang="en-US"/>
          </a:p>
        </c:rich>
      </c:tx>
      <c:layout>
        <c:manualLayout>
          <c:xMode val="edge"/>
          <c:yMode val="edge"/>
          <c:x val="0.30211789151356083"/>
          <c:y val="0.1239792942548848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Zone_wise_death!$B$3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903B-40FB-9BB1-F15E3A72BD2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903B-40FB-9BB1-F15E3A72BD2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903B-40FB-9BB1-F15E3A72BD2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903B-40FB-9BB1-F15E3A72BD2C}"/>
              </c:ext>
            </c:extLst>
          </c:dPt>
          <c:cat>
            <c:strRef>
              <c:f>Zone_wise_death!$A$4:$A$8</c:f>
              <c:strCache>
                <c:ptCount val="4"/>
                <c:pt idx="0">
                  <c:v>East</c:v>
                </c:pt>
                <c:pt idx="1">
                  <c:v>North</c:v>
                </c:pt>
                <c:pt idx="2">
                  <c:v>South</c:v>
                </c:pt>
                <c:pt idx="3">
                  <c:v>West</c:v>
                </c:pt>
              </c:strCache>
            </c:strRef>
          </c:cat>
          <c:val>
            <c:numRef>
              <c:f>Zone_wise_death!$B$4:$B$8</c:f>
              <c:numCache>
                <c:formatCode>General</c:formatCode>
                <c:ptCount val="4"/>
                <c:pt idx="0">
                  <c:v>68173</c:v>
                </c:pt>
                <c:pt idx="1">
                  <c:v>91317</c:v>
                </c:pt>
                <c:pt idx="2">
                  <c:v>130529</c:v>
                </c:pt>
                <c:pt idx="3">
                  <c:v>173511</c:v>
                </c:pt>
              </c:numCache>
            </c:numRef>
          </c:val>
          <c:extLst>
            <c:ext xmlns:c16="http://schemas.microsoft.com/office/drawing/2014/chart" uri="{C3380CC4-5D6E-409C-BE32-E72D297353CC}">
              <c16:uniqueId val="{00000008-903B-40FB-9BB1-F15E3A72BD2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Dashboard.xlsx]State_wise!PivotTable1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State-Wise Total Cases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State_wise!$B$3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State_wise!$A$4:$A$40</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State_wise!$B$4:$B$40</c:f>
              <c:numCache>
                <c:formatCode>General</c:formatCode>
                <c:ptCount val="36"/>
                <c:pt idx="0">
                  <c:v>7670</c:v>
                </c:pt>
                <c:pt idx="1">
                  <c:v>2069770</c:v>
                </c:pt>
                <c:pt idx="2">
                  <c:v>55216</c:v>
                </c:pt>
                <c:pt idx="3">
                  <c:v>613784</c:v>
                </c:pt>
                <c:pt idx="4">
                  <c:v>726153</c:v>
                </c:pt>
                <c:pt idx="5">
                  <c:v>65380</c:v>
                </c:pt>
                <c:pt idx="6">
                  <c:v>1006326</c:v>
                </c:pt>
                <c:pt idx="7">
                  <c:v>10682</c:v>
                </c:pt>
                <c:pt idx="8">
                  <c:v>1440388</c:v>
                </c:pt>
                <c:pt idx="9">
                  <c:v>178467</c:v>
                </c:pt>
                <c:pt idx="10">
                  <c:v>826924</c:v>
                </c:pt>
                <c:pt idx="11">
                  <c:v>771420</c:v>
                </c:pt>
                <c:pt idx="12">
                  <c:v>225712</c:v>
                </c:pt>
                <c:pt idx="13">
                  <c:v>334006</c:v>
                </c:pt>
                <c:pt idx="14">
                  <c:v>348992</c:v>
                </c:pt>
                <c:pt idx="15">
                  <c:v>2991614</c:v>
                </c:pt>
                <c:pt idx="16">
                  <c:v>5055224</c:v>
                </c:pt>
                <c:pt idx="17">
                  <c:v>21148</c:v>
                </c:pt>
                <c:pt idx="18">
                  <c:v>10365</c:v>
                </c:pt>
                <c:pt idx="19">
                  <c:v>792956</c:v>
                </c:pt>
                <c:pt idx="20">
                  <c:v>6623344</c:v>
                </c:pt>
                <c:pt idx="21">
                  <c:v>124432</c:v>
                </c:pt>
                <c:pt idx="22">
                  <c:v>84013</c:v>
                </c:pt>
                <c:pt idx="23">
                  <c:v>128604</c:v>
                </c:pt>
                <c:pt idx="24">
                  <c:v>31978</c:v>
                </c:pt>
                <c:pt idx="25">
                  <c:v>1045209</c:v>
                </c:pt>
                <c:pt idx="26">
                  <c:v>128401</c:v>
                </c:pt>
                <c:pt idx="27">
                  <c:v>602778</c:v>
                </c:pt>
                <c:pt idx="28">
                  <c:v>954503</c:v>
                </c:pt>
                <c:pt idx="29">
                  <c:v>32096</c:v>
                </c:pt>
                <c:pt idx="30">
                  <c:v>2714025</c:v>
                </c:pt>
                <c:pt idx="31">
                  <c:v>673469</c:v>
                </c:pt>
                <c:pt idx="32">
                  <c:v>84665</c:v>
                </c:pt>
                <c:pt idx="33">
                  <c:v>1710261</c:v>
                </c:pt>
                <c:pt idx="34">
                  <c:v>344014</c:v>
                </c:pt>
                <c:pt idx="35">
                  <c:v>1603318</c:v>
                </c:pt>
              </c:numCache>
            </c:numRef>
          </c:val>
          <c:smooth val="0"/>
          <c:extLst>
            <c:ext xmlns:c16="http://schemas.microsoft.com/office/drawing/2014/chart" uri="{C3380CC4-5D6E-409C-BE32-E72D297353CC}">
              <c16:uniqueId val="{00000000-2067-4A0F-815B-49F46A37FCB9}"/>
            </c:ext>
          </c:extLst>
        </c:ser>
        <c:dLbls>
          <c:showLegendKey val="0"/>
          <c:showVal val="0"/>
          <c:showCatName val="0"/>
          <c:showSerName val="0"/>
          <c:showPercent val="0"/>
          <c:showBubbleSize val="0"/>
        </c:dLbls>
        <c:marker val="1"/>
        <c:smooth val="0"/>
        <c:axId val="641034239"/>
        <c:axId val="641036735"/>
      </c:lineChart>
      <c:catAx>
        <c:axId val="64103423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1036735"/>
        <c:crosses val="autoZero"/>
        <c:auto val="1"/>
        <c:lblAlgn val="ctr"/>
        <c:lblOffset val="100"/>
        <c:noMultiLvlLbl val="0"/>
      </c:catAx>
      <c:valAx>
        <c:axId val="6410367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1034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274320</xdr:colOff>
      <xdr:row>4</xdr:row>
      <xdr:rowOff>0</xdr:rowOff>
    </xdr:from>
    <xdr:to>
      <xdr:col>17</xdr:col>
      <xdr:colOff>495300</xdr:colOff>
      <xdr:row>16</xdr:row>
      <xdr:rowOff>0</xdr:rowOff>
    </xdr:to>
    <xdr:graphicFrame macro="">
      <xdr:nvGraphicFramePr>
        <xdr:cNvPr id="2" name="Chart 1">
          <a:extLst>
            <a:ext uri="{FF2B5EF4-FFF2-40B4-BE49-F238E27FC236}">
              <a16:creationId xmlns:a16="http://schemas.microsoft.com/office/drawing/2014/main" id="{EB6E618C-4426-49F6-B854-E66461627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266700</xdr:colOff>
      <xdr:row>16</xdr:row>
      <xdr:rowOff>0</xdr:rowOff>
    </xdr:from>
    <xdr:to>
      <xdr:col>17</xdr:col>
      <xdr:colOff>487680</xdr:colOff>
      <xdr:row>28</xdr:row>
      <xdr:rowOff>114300</xdr:rowOff>
    </xdr:to>
    <xdr:graphicFrame macro="">
      <xdr:nvGraphicFramePr>
        <xdr:cNvPr id="3" name="Chart 2">
          <a:extLst>
            <a:ext uri="{FF2B5EF4-FFF2-40B4-BE49-F238E27FC236}">
              <a16:creationId xmlns:a16="http://schemas.microsoft.com/office/drawing/2014/main" id="{5BF2C939-F29C-4E18-9967-61A7ABEE67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83820</xdr:colOff>
      <xdr:row>4</xdr:row>
      <xdr:rowOff>7620</xdr:rowOff>
    </xdr:from>
    <xdr:to>
      <xdr:col>11</xdr:col>
      <xdr:colOff>281940</xdr:colOff>
      <xdr:row>16</xdr:row>
      <xdr:rowOff>45720</xdr:rowOff>
    </xdr:to>
    <xdr:graphicFrame macro="">
      <xdr:nvGraphicFramePr>
        <xdr:cNvPr id="4" name="Chart 3">
          <a:extLst>
            <a:ext uri="{FF2B5EF4-FFF2-40B4-BE49-F238E27FC236}">
              <a16:creationId xmlns:a16="http://schemas.microsoft.com/office/drawing/2014/main" id="{1EBB5140-4C64-4D81-8B77-75FC9368C3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91440</xdr:colOff>
      <xdr:row>16</xdr:row>
      <xdr:rowOff>30480</xdr:rowOff>
    </xdr:from>
    <xdr:to>
      <xdr:col>11</xdr:col>
      <xdr:colOff>266700</xdr:colOff>
      <xdr:row>28</xdr:row>
      <xdr:rowOff>114300</xdr:rowOff>
    </xdr:to>
    <xdr:graphicFrame macro="">
      <xdr:nvGraphicFramePr>
        <xdr:cNvPr id="5" name="Chart 4">
          <a:extLst>
            <a:ext uri="{FF2B5EF4-FFF2-40B4-BE49-F238E27FC236}">
              <a16:creationId xmlns:a16="http://schemas.microsoft.com/office/drawing/2014/main" id="{58BBC45C-92BB-49DE-86AC-406AEC03F4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480060</xdr:colOff>
      <xdr:row>4</xdr:row>
      <xdr:rowOff>7620</xdr:rowOff>
    </xdr:from>
    <xdr:to>
      <xdr:col>23</xdr:col>
      <xdr:colOff>7620</xdr:colOff>
      <xdr:row>16</xdr:row>
      <xdr:rowOff>15240</xdr:rowOff>
    </xdr:to>
    <xdr:graphicFrame macro="">
      <xdr:nvGraphicFramePr>
        <xdr:cNvPr id="6" name="Chart 5">
          <a:extLst>
            <a:ext uri="{FF2B5EF4-FFF2-40B4-BE49-F238E27FC236}">
              <a16:creationId xmlns:a16="http://schemas.microsoft.com/office/drawing/2014/main" id="{6AADDBDD-482F-4372-BB4D-3E96A87E0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480060</xdr:colOff>
      <xdr:row>16</xdr:row>
      <xdr:rowOff>7620</xdr:rowOff>
    </xdr:from>
    <xdr:to>
      <xdr:col>23</xdr:col>
      <xdr:colOff>7620</xdr:colOff>
      <xdr:row>28</xdr:row>
      <xdr:rowOff>106680</xdr:rowOff>
    </xdr:to>
    <xdr:graphicFrame macro="">
      <xdr:nvGraphicFramePr>
        <xdr:cNvPr id="7" name="Chart 6">
          <a:extLst>
            <a:ext uri="{FF2B5EF4-FFF2-40B4-BE49-F238E27FC236}">
              <a16:creationId xmlns:a16="http://schemas.microsoft.com/office/drawing/2014/main" id="{E1F9933C-EFFA-4C3D-8E86-D5BAE9B94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4</xdr:row>
      <xdr:rowOff>7620</xdr:rowOff>
    </xdr:from>
    <xdr:to>
      <xdr:col>2</xdr:col>
      <xdr:colOff>304800</xdr:colOff>
      <xdr:row>10</xdr:row>
      <xdr:rowOff>0</xdr:rowOff>
    </xdr:to>
    <mc:AlternateContent xmlns:mc="http://schemas.openxmlformats.org/markup-compatibility/2006">
      <mc:Choice xmlns:a14="http://schemas.microsoft.com/office/drawing/2010/main" Requires="a14">
        <xdr:graphicFrame macro="">
          <xdr:nvGraphicFramePr>
            <xdr:cNvPr id="9" name="Death Avg">
              <a:extLst>
                <a:ext uri="{FF2B5EF4-FFF2-40B4-BE49-F238E27FC236}">
                  <a16:creationId xmlns:a16="http://schemas.microsoft.com/office/drawing/2014/main" id="{FD2210E4-6B04-43D1-9091-CC119EC9DB76}"/>
                </a:ext>
              </a:extLst>
            </xdr:cNvPr>
            <xdr:cNvGraphicFramePr/>
          </xdr:nvGraphicFramePr>
          <xdr:xfrm>
            <a:off x="0" y="0"/>
            <a:ext cx="0" cy="0"/>
          </xdr:xfrm>
          <a:graphic>
            <a:graphicData uri="http://schemas.microsoft.com/office/drawing/2010/slicer">
              <sle:slicer xmlns:sle="http://schemas.microsoft.com/office/drawing/2010/slicer" name="Death Avg"/>
            </a:graphicData>
          </a:graphic>
        </xdr:graphicFrame>
      </mc:Choice>
      <mc:Fallback>
        <xdr:sp macro="" textlink="">
          <xdr:nvSpPr>
            <xdr:cNvPr id="0" name=""/>
            <xdr:cNvSpPr>
              <a:spLocks noTextEdit="1"/>
            </xdr:cNvSpPr>
          </xdr:nvSpPr>
          <xdr:spPr>
            <a:xfrm>
              <a:off x="0" y="739140"/>
              <a:ext cx="1524000" cy="1089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304800</xdr:colOff>
      <xdr:row>4</xdr:row>
      <xdr:rowOff>7620</xdr:rowOff>
    </xdr:from>
    <xdr:to>
      <xdr:col>5</xdr:col>
      <xdr:colOff>76200</xdr:colOff>
      <xdr:row>10</xdr:row>
      <xdr:rowOff>7620</xdr:rowOff>
    </xdr:to>
    <mc:AlternateContent xmlns:mc="http://schemas.openxmlformats.org/markup-compatibility/2006">
      <mc:Choice xmlns:a14="http://schemas.microsoft.com/office/drawing/2010/main" Requires="a14">
        <xdr:graphicFrame macro="">
          <xdr:nvGraphicFramePr>
            <xdr:cNvPr id="10" name="Discharge Avg">
              <a:extLst>
                <a:ext uri="{FF2B5EF4-FFF2-40B4-BE49-F238E27FC236}">
                  <a16:creationId xmlns:a16="http://schemas.microsoft.com/office/drawing/2014/main" id="{98D6F1E0-DDDC-4152-970D-746D3053BF69}"/>
                </a:ext>
              </a:extLst>
            </xdr:cNvPr>
            <xdr:cNvGraphicFramePr/>
          </xdr:nvGraphicFramePr>
          <xdr:xfrm>
            <a:off x="0" y="0"/>
            <a:ext cx="0" cy="0"/>
          </xdr:xfrm>
          <a:graphic>
            <a:graphicData uri="http://schemas.microsoft.com/office/drawing/2010/slicer">
              <sle:slicer xmlns:sle="http://schemas.microsoft.com/office/drawing/2010/slicer" name="Discharge Avg"/>
            </a:graphicData>
          </a:graphic>
        </xdr:graphicFrame>
      </mc:Choice>
      <mc:Fallback>
        <xdr:sp macro="" textlink="">
          <xdr:nvSpPr>
            <xdr:cNvPr id="0" name=""/>
            <xdr:cNvSpPr>
              <a:spLocks noTextEdit="1"/>
            </xdr:cNvSpPr>
          </xdr:nvSpPr>
          <xdr:spPr>
            <a:xfrm>
              <a:off x="1524000" y="739140"/>
              <a:ext cx="1600200" cy="1097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0</xdr:rowOff>
    </xdr:from>
    <xdr:to>
      <xdr:col>5</xdr:col>
      <xdr:colOff>83820</xdr:colOff>
      <xdr:row>17</xdr:row>
      <xdr:rowOff>167640</xdr:rowOff>
    </xdr:to>
    <mc:AlternateContent xmlns:mc="http://schemas.openxmlformats.org/markup-compatibility/2006">
      <mc:Choice xmlns:a14="http://schemas.microsoft.com/office/drawing/2010/main" Requires="a14">
        <xdr:graphicFrame macro="">
          <xdr:nvGraphicFramePr>
            <xdr:cNvPr id="11" name="Zone">
              <a:extLst>
                <a:ext uri="{FF2B5EF4-FFF2-40B4-BE49-F238E27FC236}">
                  <a16:creationId xmlns:a16="http://schemas.microsoft.com/office/drawing/2014/main" id="{612BFA4A-2B22-4D80-9302-8B069F478AF3}"/>
                </a:ext>
              </a:extLst>
            </xdr:cNvPr>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dr:sp macro="" textlink="">
          <xdr:nvSpPr>
            <xdr:cNvPr id="0" name=""/>
            <xdr:cNvSpPr>
              <a:spLocks noTextEdit="1"/>
            </xdr:cNvSpPr>
          </xdr:nvSpPr>
          <xdr:spPr>
            <a:xfrm>
              <a:off x="0" y="1828800"/>
              <a:ext cx="313182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17</xdr:row>
      <xdr:rowOff>175260</xdr:rowOff>
    </xdr:from>
    <xdr:to>
      <xdr:col>5</xdr:col>
      <xdr:colOff>84000</xdr:colOff>
      <xdr:row>28</xdr:row>
      <xdr:rowOff>91440</xdr:rowOff>
    </xdr:to>
    <mc:AlternateContent xmlns:mc="http://schemas.openxmlformats.org/markup-compatibility/2006">
      <mc:Choice xmlns:a14="http://schemas.microsoft.com/office/drawing/2010/main" Requires="a14">
        <xdr:graphicFrame macro="">
          <xdr:nvGraphicFramePr>
            <xdr:cNvPr id="12" name="State/UTs">
              <a:extLst>
                <a:ext uri="{FF2B5EF4-FFF2-40B4-BE49-F238E27FC236}">
                  <a16:creationId xmlns:a16="http://schemas.microsoft.com/office/drawing/2014/main" id="{DB1119F3-88C3-430E-8D93-75D240CA2774}"/>
                </a:ext>
              </a:extLst>
            </xdr:cNvPr>
            <xdr:cNvGraphicFramePr/>
          </xdr:nvGraphicFramePr>
          <xdr:xfrm>
            <a:off x="0" y="0"/>
            <a:ext cx="0" cy="0"/>
          </xdr:xfrm>
          <a:graphic>
            <a:graphicData uri="http://schemas.microsoft.com/office/drawing/2010/slicer">
              <sle:slicer xmlns:sle="http://schemas.microsoft.com/office/drawing/2010/slicer" name="State/UTs"/>
            </a:graphicData>
          </a:graphic>
        </xdr:graphicFrame>
      </mc:Choice>
      <mc:Fallback>
        <xdr:sp macro="" textlink="">
          <xdr:nvSpPr>
            <xdr:cNvPr id="0" name=""/>
            <xdr:cNvSpPr>
              <a:spLocks noTextEdit="1"/>
            </xdr:cNvSpPr>
          </xdr:nvSpPr>
          <xdr:spPr>
            <a:xfrm>
              <a:off x="0" y="3284220"/>
              <a:ext cx="3132000" cy="1927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26.839330439812" createdVersion="8" refreshedVersion="8" minRefreshableVersion="3" recordCount="36" xr:uid="{2FDB5949-0EA7-4B14-90A7-E2951C379071}">
  <cacheSource type="worksheet">
    <worksheetSource ref="A1:L37" sheet="Data"/>
  </cacheSource>
  <cacheFields count="12">
    <cacheField name="State/UTs" numFmtId="0">
      <sharedItems count="36">
        <s v="Andaman and Nicobar"/>
        <s v="Andhra Pradesh"/>
        <s v="Arunachal Pradesh"/>
        <s v="Assam"/>
        <s v="Bihar"/>
        <s v="Chandigarh"/>
        <s v="Chhattisgarh"/>
        <s v="Daman and Diu"/>
        <s v="Delhi"/>
        <s v="Goa"/>
        <s v="Gujarat"/>
        <s v="Haryana"/>
        <s v="Himachal Pradesh"/>
        <s v="Jammu and Kashmir"/>
        <s v="Jharkhand"/>
        <s v="Karnataka"/>
        <s v="Kerala"/>
        <s v="Ladakh"/>
        <s v="Lakshadweep"/>
        <s v="Madhya Pradesh"/>
        <s v="Maharashtra"/>
        <s v="Manipur"/>
        <s v="Meghalaya"/>
        <s v="Mizoram"/>
        <s v="Nagaland"/>
        <s v="Odisha"/>
        <s v="Puducherry"/>
        <s v="Punjab"/>
        <s v="Rajasthan"/>
        <s v="Sikkim"/>
        <s v="Tamil Nadu"/>
        <s v="Telengana"/>
        <s v="Tripura"/>
        <s v="Uttar Pradesh"/>
        <s v="Uttarakhand"/>
        <s v="West Bengal"/>
      </sharedItems>
    </cacheField>
    <cacheField name="Zone" numFmtId="0">
      <sharedItems count="4">
        <s v="South"/>
        <s v="East"/>
        <s v="North"/>
        <s v="West"/>
      </sharedItems>
    </cacheField>
    <cacheField name="Total Cases" numFmtId="0">
      <sharedItems containsSemiMixedTypes="0" containsString="0" containsNumber="1" containsInteger="1" minValue="7670" maxValue="6623344"/>
    </cacheField>
    <cacheField name="Active" numFmtId="0">
      <sharedItems containsSemiMixedTypes="0" containsString="0" containsNumber="1" containsInteger="1" minValue="0" maxValue="69258"/>
    </cacheField>
    <cacheField name="Discharged" numFmtId="0">
      <sharedItems containsSemiMixedTypes="0" containsString="0" containsNumber="1" containsInteger="1" minValue="7534" maxValue="6466913"/>
    </cacheField>
    <cacheField name="Deaths" numFmtId="0">
      <sharedItems containsSemiMixedTypes="0" containsString="0" containsNumber="1" containsInteger="1" minValue="4" maxValue="140565"/>
    </cacheField>
    <cacheField name="Active Ratio" numFmtId="0">
      <sharedItems containsSemiMixedTypes="0" containsString="0" containsNumber="1" minValue="0" maxValue="4.3899999999999997"/>
    </cacheField>
    <cacheField name="Discharge Ratio" numFmtId="0">
      <sharedItems containsSemiMixedTypes="0" containsString="0" containsNumber="1" minValue="95.25" maxValue="99.96" count="33">
        <n v="98.23"/>
        <n v="99.15"/>
        <n v="99.42"/>
        <n v="98.48"/>
        <n v="98.67"/>
        <n v="98.71"/>
        <n v="98.63"/>
        <n v="99.96"/>
        <n v="97.96"/>
        <n v="98.75"/>
        <n v="98.68"/>
        <n v="97.82"/>
        <n v="98.49"/>
        <n v="98.46"/>
        <n v="97.92"/>
        <n v="98.27"/>
        <n v="99.51"/>
        <n v="98.66"/>
        <n v="97.64"/>
        <n v="97.79"/>
        <n v="97.93"/>
        <n v="95.25"/>
        <n v="97.33"/>
        <n v="98.96"/>
        <n v="98.33"/>
        <n v="97.2"/>
        <n v="99.05"/>
        <n v="98.38"/>
        <n v="98.3"/>
        <n v="98.85"/>
        <n v="98.9"/>
        <n v="97.8"/>
        <n v="98.29"/>
      </sharedItems>
    </cacheField>
    <cacheField name="Discharge Avg" numFmtId="0">
      <sharedItems count="2">
        <s v="Below Average"/>
        <s v="Above Average"/>
      </sharedItems>
    </cacheField>
    <cacheField name="Death Ratio" numFmtId="0">
      <sharedItems containsSemiMixedTypes="0" containsString="0" containsNumber="1" minValue="0.04" maxValue="2.75" count="31">
        <n v="1.68"/>
        <n v="0.7"/>
        <n v="0.51"/>
        <n v="0.99"/>
        <n v="1.33"/>
        <n v="1.25"/>
        <n v="1.35"/>
        <n v="0.04"/>
        <n v="1.74"/>
        <n v="1.89"/>
        <n v="1.22"/>
        <n v="1.3"/>
        <n v="1.69"/>
        <n v="1.47"/>
        <n v="1.27"/>
        <n v="0.71"/>
        <n v="1"/>
        <n v="0.49"/>
        <n v="2.12"/>
        <n v="1.56"/>
        <n v="0.36"/>
        <n v="2.16"/>
        <n v="0.8"/>
        <n v="1.45"/>
        <n v="2.75"/>
        <n v="0.94"/>
        <n v="1.34"/>
        <n v="0.59"/>
        <n v="0.96"/>
        <n v="2.15"/>
        <n v="1.2"/>
      </sharedItems>
    </cacheField>
    <cacheField name="Death Avg" numFmtId="0">
      <sharedItems count="2">
        <s v="Above Average"/>
        <s v="Below Average"/>
      </sharedItems>
    </cacheField>
    <cacheField name="Population" numFmtId="0">
      <sharedItems containsSemiMixedTypes="0" containsString="0" containsNumber="1" containsInteger="1" minValue="66001" maxValue="231502578"/>
    </cacheField>
  </cacheFields>
  <extLst>
    <ext xmlns:x14="http://schemas.microsoft.com/office/spreadsheetml/2009/9/main" uri="{725AE2AE-9491-48be-B2B4-4EB974FC3084}">
      <x14:pivotCacheDefinition pivotCacheId="16659179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n v="7670"/>
    <n v="7"/>
    <n v="7534"/>
    <n v="129"/>
    <n v="0.09"/>
    <x v="0"/>
    <x v="0"/>
    <x v="0"/>
    <x v="0"/>
    <n v="399001"/>
  </r>
  <r>
    <x v="1"/>
    <x v="0"/>
    <n v="2069770"/>
    <n v="3128"/>
    <n v="2052230"/>
    <n v="14412"/>
    <n v="0.15"/>
    <x v="1"/>
    <x v="1"/>
    <x v="1"/>
    <x v="1"/>
    <n v="91702478"/>
  </r>
  <r>
    <x v="2"/>
    <x v="1"/>
    <n v="55216"/>
    <n v="42"/>
    <n v="54894"/>
    <n v="280"/>
    <n v="0.08"/>
    <x v="2"/>
    <x v="1"/>
    <x v="2"/>
    <x v="1"/>
    <n v="1711947"/>
  </r>
  <r>
    <x v="3"/>
    <x v="1"/>
    <n v="613784"/>
    <n v="3272"/>
    <n v="604465"/>
    <n v="6047"/>
    <n v="0.53"/>
    <x v="3"/>
    <x v="1"/>
    <x v="3"/>
    <x v="1"/>
    <n v="35998752"/>
  </r>
  <r>
    <x v="4"/>
    <x v="1"/>
    <n v="726153"/>
    <n v="29"/>
    <n v="716462"/>
    <n v="9662"/>
    <n v="0"/>
    <x v="4"/>
    <x v="1"/>
    <x v="4"/>
    <x v="0"/>
    <n v="128500364"/>
  </r>
  <r>
    <x v="5"/>
    <x v="2"/>
    <n v="65380"/>
    <n v="24"/>
    <n v="64536"/>
    <n v="820"/>
    <n v="0.04"/>
    <x v="5"/>
    <x v="1"/>
    <x v="5"/>
    <x v="1"/>
    <n v="1158040"/>
  </r>
  <r>
    <x v="6"/>
    <x v="1"/>
    <n v="1006326"/>
    <n v="230"/>
    <n v="992508"/>
    <n v="13588"/>
    <n v="0.02"/>
    <x v="6"/>
    <x v="1"/>
    <x v="6"/>
    <x v="0"/>
    <n v="32199722"/>
  </r>
  <r>
    <x v="7"/>
    <x v="3"/>
    <n v="10682"/>
    <n v="0"/>
    <n v="10678"/>
    <n v="4"/>
    <n v="0"/>
    <x v="7"/>
    <x v="1"/>
    <x v="7"/>
    <x v="1"/>
    <n v="773997"/>
  </r>
  <r>
    <x v="8"/>
    <x v="2"/>
    <n v="1440388"/>
    <n v="361"/>
    <n v="1414934"/>
    <n v="25093"/>
    <n v="0.03"/>
    <x v="0"/>
    <x v="0"/>
    <x v="8"/>
    <x v="0"/>
    <n v="19301096"/>
  </r>
  <r>
    <x v="9"/>
    <x v="3"/>
    <n v="178467"/>
    <n v="263"/>
    <n v="174830"/>
    <n v="3374"/>
    <n v="0.15"/>
    <x v="8"/>
    <x v="0"/>
    <x v="9"/>
    <x v="0"/>
    <n v="1521992"/>
  </r>
  <r>
    <x v="10"/>
    <x v="3"/>
    <n v="826924"/>
    <n v="226"/>
    <n v="816608"/>
    <n v="10090"/>
    <n v="0.03"/>
    <x v="9"/>
    <x v="1"/>
    <x v="10"/>
    <x v="1"/>
    <n v="70400153"/>
  </r>
  <r>
    <x v="11"/>
    <x v="2"/>
    <n v="771420"/>
    <n v="140"/>
    <n v="761230"/>
    <n v="10050"/>
    <n v="0.02"/>
    <x v="10"/>
    <x v="1"/>
    <x v="11"/>
    <x v="0"/>
    <n v="28900667"/>
  </r>
  <r>
    <x v="12"/>
    <x v="2"/>
    <n v="225712"/>
    <n v="1100"/>
    <n v="220800"/>
    <n v="3812"/>
    <n v="0.49"/>
    <x v="11"/>
    <x v="0"/>
    <x v="12"/>
    <x v="0"/>
    <n v="7503010"/>
  </r>
  <r>
    <x v="13"/>
    <x v="2"/>
    <n v="334006"/>
    <n v="1450"/>
    <n v="328108"/>
    <n v="4448"/>
    <n v="0.43"/>
    <x v="0"/>
    <x v="0"/>
    <x v="4"/>
    <x v="0"/>
    <n v="14999397"/>
  </r>
  <r>
    <x v="14"/>
    <x v="1"/>
    <n v="348992"/>
    <n v="141"/>
    <n v="343713"/>
    <n v="5138"/>
    <n v="0.04"/>
    <x v="12"/>
    <x v="1"/>
    <x v="13"/>
    <x v="0"/>
    <n v="40100376"/>
  </r>
  <r>
    <x v="15"/>
    <x v="0"/>
    <n v="2991614"/>
    <n v="8056"/>
    <n v="2945415"/>
    <n v="38143"/>
    <n v="0.27"/>
    <x v="13"/>
    <x v="1"/>
    <x v="14"/>
    <x v="1"/>
    <n v="69599762"/>
  </r>
  <r>
    <x v="16"/>
    <x v="0"/>
    <n v="5055224"/>
    <n v="69258"/>
    <n v="4950281"/>
    <n v="35685"/>
    <n v="1.37"/>
    <x v="14"/>
    <x v="0"/>
    <x v="15"/>
    <x v="1"/>
    <n v="34698876"/>
  </r>
  <r>
    <x v="17"/>
    <x v="2"/>
    <n v="21148"/>
    <n v="154"/>
    <n v="20783"/>
    <n v="211"/>
    <n v="0.73"/>
    <x v="15"/>
    <x v="0"/>
    <x v="16"/>
    <x v="1"/>
    <n v="290492"/>
  </r>
  <r>
    <x v="18"/>
    <x v="0"/>
    <n v="10365"/>
    <n v="0"/>
    <n v="10314"/>
    <n v="51"/>
    <n v="0"/>
    <x v="16"/>
    <x v="1"/>
    <x v="17"/>
    <x v="1"/>
    <n v="66001"/>
  </r>
  <r>
    <x v="19"/>
    <x v="3"/>
    <n v="792956"/>
    <n v="75"/>
    <n v="782357"/>
    <n v="10524"/>
    <n v="0.01"/>
    <x v="17"/>
    <x v="1"/>
    <x v="4"/>
    <x v="0"/>
    <n v="85002417"/>
  </r>
  <r>
    <x v="20"/>
    <x v="3"/>
    <n v="6623344"/>
    <n v="15866"/>
    <n v="6466913"/>
    <n v="140565"/>
    <n v="0.24"/>
    <x v="18"/>
    <x v="0"/>
    <x v="18"/>
    <x v="0"/>
    <n v="124904071"/>
  </r>
  <r>
    <x v="21"/>
    <x v="1"/>
    <n v="124432"/>
    <n v="799"/>
    <n v="121687"/>
    <n v="1946"/>
    <n v="0.64"/>
    <x v="19"/>
    <x v="0"/>
    <x v="19"/>
    <x v="0"/>
    <n v="3436948"/>
  </r>
  <r>
    <x v="22"/>
    <x v="1"/>
    <n v="84013"/>
    <n v="277"/>
    <n v="82274"/>
    <n v="1462"/>
    <n v="0.33"/>
    <x v="20"/>
    <x v="0"/>
    <x v="8"/>
    <x v="0"/>
    <n v="3772103"/>
  </r>
  <r>
    <x v="23"/>
    <x v="1"/>
    <n v="128604"/>
    <n v="5651"/>
    <n v="122494"/>
    <n v="459"/>
    <n v="4.3899999999999997"/>
    <x v="21"/>
    <x v="0"/>
    <x v="20"/>
    <x v="1"/>
    <n v="1308967"/>
  </r>
  <r>
    <x v="24"/>
    <x v="1"/>
    <n v="31978"/>
    <n v="163"/>
    <n v="31123"/>
    <n v="692"/>
    <n v="0.51"/>
    <x v="22"/>
    <x v="0"/>
    <x v="21"/>
    <x v="0"/>
    <n v="2073074"/>
  </r>
  <r>
    <x v="25"/>
    <x v="1"/>
    <n v="1045209"/>
    <n v="2534"/>
    <n v="1034300"/>
    <n v="8375"/>
    <n v="0.24"/>
    <x v="23"/>
    <x v="1"/>
    <x v="22"/>
    <x v="1"/>
    <n v="47099270"/>
  </r>
  <r>
    <x v="26"/>
    <x v="0"/>
    <n v="128401"/>
    <n v="275"/>
    <n v="126263"/>
    <n v="1863"/>
    <n v="0.21"/>
    <x v="24"/>
    <x v="0"/>
    <x v="23"/>
    <x v="0"/>
    <n v="1646050"/>
  </r>
  <r>
    <x v="27"/>
    <x v="2"/>
    <n v="602778"/>
    <n v="318"/>
    <n v="585889"/>
    <n v="16571"/>
    <n v="0.05"/>
    <x v="25"/>
    <x v="0"/>
    <x v="24"/>
    <x v="0"/>
    <n v="30501026"/>
  </r>
  <r>
    <x v="28"/>
    <x v="3"/>
    <n v="954503"/>
    <n v="71"/>
    <n v="945478"/>
    <n v="8954"/>
    <n v="0.01"/>
    <x v="26"/>
    <x v="1"/>
    <x v="25"/>
    <x v="1"/>
    <n v="79502477"/>
  </r>
  <r>
    <x v="29"/>
    <x v="1"/>
    <n v="32096"/>
    <n v="121"/>
    <n v="31575"/>
    <n v="400"/>
    <n v="0.38"/>
    <x v="27"/>
    <x v="1"/>
    <x v="5"/>
    <x v="1"/>
    <n v="658019"/>
  </r>
  <r>
    <x v="30"/>
    <x v="0"/>
    <n v="2714025"/>
    <n v="9751"/>
    <n v="2668001"/>
    <n v="36273"/>
    <n v="0.36"/>
    <x v="28"/>
    <x v="0"/>
    <x v="26"/>
    <x v="0"/>
    <n v="83697770"/>
  </r>
  <r>
    <x v="31"/>
    <x v="0"/>
    <n v="673469"/>
    <n v="3741"/>
    <n v="665755"/>
    <n v="3973"/>
    <n v="0.56000000000000005"/>
    <x v="29"/>
    <x v="1"/>
    <x v="27"/>
    <x v="1"/>
    <n v="38157311"/>
  </r>
  <r>
    <x v="32"/>
    <x v="1"/>
    <n v="84665"/>
    <n v="116"/>
    <n v="83732"/>
    <n v="817"/>
    <n v="0.14000000000000001"/>
    <x v="30"/>
    <x v="1"/>
    <x v="28"/>
    <x v="1"/>
    <n v="4184959"/>
  </r>
  <r>
    <x v="33"/>
    <x v="2"/>
    <n v="1710261"/>
    <n v="90"/>
    <n v="1687262"/>
    <n v="22909"/>
    <n v="0.01"/>
    <x v="17"/>
    <x v="1"/>
    <x v="26"/>
    <x v="0"/>
    <n v="231502578"/>
  </r>
  <r>
    <x v="34"/>
    <x v="2"/>
    <n v="344014"/>
    <n v="158"/>
    <n v="336453"/>
    <n v="7403"/>
    <n v="0.05"/>
    <x v="31"/>
    <x v="0"/>
    <x v="29"/>
    <x v="0"/>
    <n v="11700099"/>
  </r>
  <r>
    <x v="35"/>
    <x v="1"/>
    <n v="1603318"/>
    <n v="8031"/>
    <n v="1575980"/>
    <n v="19307"/>
    <n v="0.5"/>
    <x v="32"/>
    <x v="0"/>
    <x v="30"/>
    <x v="1"/>
    <n v="1008966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7391BD-2AEF-40F6-AA86-6E89CCBC0F5E}"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2">
    <pivotField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axis="axisRow" showAll="0">
      <items count="5">
        <item x="1"/>
        <item x="2"/>
        <item x="0"/>
        <item x="3"/>
        <item t="default"/>
      </items>
    </pivotField>
    <pivotField showAll="0"/>
    <pivotField showAll="0"/>
    <pivotField showAll="0"/>
    <pivotField showAll="0"/>
    <pivotField showAll="0"/>
    <pivotField dataField="1" showAll="0">
      <items count="34">
        <item x="21"/>
        <item x="25"/>
        <item x="22"/>
        <item x="18"/>
        <item x="19"/>
        <item x="31"/>
        <item x="11"/>
        <item x="14"/>
        <item x="20"/>
        <item x="8"/>
        <item x="0"/>
        <item x="15"/>
        <item x="32"/>
        <item x="28"/>
        <item x="24"/>
        <item x="27"/>
        <item x="13"/>
        <item x="3"/>
        <item x="12"/>
        <item x="6"/>
        <item x="17"/>
        <item x="4"/>
        <item x="10"/>
        <item x="5"/>
        <item x="9"/>
        <item x="29"/>
        <item x="30"/>
        <item x="23"/>
        <item x="26"/>
        <item x="1"/>
        <item x="2"/>
        <item x="16"/>
        <item x="7"/>
        <item t="default"/>
      </items>
    </pivotField>
    <pivotField showAll="0">
      <items count="3">
        <item x="1"/>
        <item x="0"/>
        <item t="default"/>
      </items>
    </pivotField>
    <pivotField showAll="0">
      <items count="32">
        <item x="7"/>
        <item x="20"/>
        <item x="17"/>
        <item x="2"/>
        <item x="27"/>
        <item x="1"/>
        <item x="15"/>
        <item x="22"/>
        <item x="25"/>
        <item x="28"/>
        <item x="3"/>
        <item x="16"/>
        <item x="30"/>
        <item x="10"/>
        <item x="5"/>
        <item x="14"/>
        <item x="11"/>
        <item x="4"/>
        <item x="26"/>
        <item x="6"/>
        <item x="23"/>
        <item x="13"/>
        <item x="19"/>
        <item x="0"/>
        <item x="12"/>
        <item x="8"/>
        <item x="9"/>
        <item x="18"/>
        <item x="29"/>
        <item x="21"/>
        <item x="24"/>
        <item t="default"/>
      </items>
    </pivotField>
    <pivotField showAll="0">
      <items count="3">
        <item x="0"/>
        <item x="1"/>
        <item t="default"/>
      </items>
    </pivotField>
    <pivotField showAll="0"/>
  </pivotFields>
  <rowFields count="1">
    <field x="1"/>
  </rowFields>
  <rowItems count="5">
    <i>
      <x/>
    </i>
    <i>
      <x v="1"/>
    </i>
    <i>
      <x v="2"/>
    </i>
    <i>
      <x v="3"/>
    </i>
    <i t="grand">
      <x/>
    </i>
  </rowItems>
  <colItems count="1">
    <i/>
  </colItems>
  <dataFields count="1">
    <dataField name="Sum of Discharge Ratio" fld="7" baseField="0" baseItem="0"/>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E15462-C56E-493D-8FB2-60A87E0A7260}"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40" firstHeaderRow="1" firstDataRow="1" firstDataCol="1"/>
  <pivotFields count="12">
    <pivotField axis="axisRow"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5">
        <item x="1"/>
        <item x="2"/>
        <item x="0"/>
        <item x="3"/>
        <item t="default"/>
      </items>
    </pivotField>
    <pivotField showAll="0"/>
    <pivotField showAll="0"/>
    <pivotField showAll="0"/>
    <pivotField showAll="0"/>
    <pivotField showAll="0"/>
    <pivotField showAll="0">
      <items count="34">
        <item x="21"/>
        <item x="25"/>
        <item x="22"/>
        <item x="18"/>
        <item x="19"/>
        <item x="31"/>
        <item x="11"/>
        <item x="14"/>
        <item x="20"/>
        <item x="8"/>
        <item x="0"/>
        <item x="15"/>
        <item x="32"/>
        <item x="28"/>
        <item x="24"/>
        <item x="27"/>
        <item x="13"/>
        <item x="3"/>
        <item x="12"/>
        <item x="6"/>
        <item x="17"/>
        <item x="4"/>
        <item x="10"/>
        <item x="5"/>
        <item x="9"/>
        <item x="29"/>
        <item x="30"/>
        <item x="23"/>
        <item x="26"/>
        <item x="1"/>
        <item x="2"/>
        <item x="16"/>
        <item x="7"/>
        <item t="default"/>
      </items>
    </pivotField>
    <pivotField showAll="0">
      <items count="3">
        <item x="1"/>
        <item x="0"/>
        <item t="default"/>
      </items>
    </pivotField>
    <pivotField dataField="1" showAll="0">
      <items count="32">
        <item x="7"/>
        <item x="20"/>
        <item x="17"/>
        <item x="2"/>
        <item x="27"/>
        <item x="1"/>
        <item x="15"/>
        <item x="22"/>
        <item x="25"/>
        <item x="28"/>
        <item x="3"/>
        <item x="16"/>
        <item x="30"/>
        <item x="10"/>
        <item x="5"/>
        <item x="14"/>
        <item x="11"/>
        <item x="4"/>
        <item x="26"/>
        <item x="6"/>
        <item x="23"/>
        <item x="13"/>
        <item x="19"/>
        <item x="0"/>
        <item x="12"/>
        <item x="8"/>
        <item x="9"/>
        <item x="18"/>
        <item x="29"/>
        <item x="21"/>
        <item x="24"/>
        <item t="default"/>
      </items>
    </pivotField>
    <pivotField showAll="0">
      <items count="3">
        <item x="0"/>
        <item x="1"/>
        <item t="default"/>
      </items>
    </pivotField>
    <pivotField showAl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Sum of Death Ratio" fld="9" baseField="0" baseItem="0"/>
  </dataFields>
  <chartFormats count="1">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FFFE9C-CBF9-4762-B234-BCD6A520AE3D}"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40" firstHeaderRow="1" firstDataRow="1" firstDataCol="1"/>
  <pivotFields count="12">
    <pivotField axis="axisRow"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5">
        <item x="1"/>
        <item x="2"/>
        <item x="0"/>
        <item x="3"/>
        <item t="default"/>
      </items>
    </pivotField>
    <pivotField showAll="0"/>
    <pivotField showAll="0"/>
    <pivotField showAll="0"/>
    <pivotField showAll="0"/>
    <pivotField showAll="0"/>
    <pivotField showAll="0">
      <items count="34">
        <item x="21"/>
        <item x="25"/>
        <item x="22"/>
        <item x="18"/>
        <item x="19"/>
        <item x="31"/>
        <item x="11"/>
        <item x="14"/>
        <item x="20"/>
        <item x="8"/>
        <item x="0"/>
        <item x="15"/>
        <item x="32"/>
        <item x="28"/>
        <item x="24"/>
        <item x="27"/>
        <item x="13"/>
        <item x="3"/>
        <item x="12"/>
        <item x="6"/>
        <item x="17"/>
        <item x="4"/>
        <item x="10"/>
        <item x="5"/>
        <item x="9"/>
        <item x="29"/>
        <item x="30"/>
        <item x="23"/>
        <item x="26"/>
        <item x="1"/>
        <item x="2"/>
        <item x="16"/>
        <item x="7"/>
        <item t="default"/>
      </items>
    </pivotField>
    <pivotField showAll="0">
      <items count="3">
        <item x="1"/>
        <item x="0"/>
        <item t="default"/>
      </items>
    </pivotField>
    <pivotField showAll="0">
      <items count="32">
        <item x="7"/>
        <item x="20"/>
        <item x="17"/>
        <item x="2"/>
        <item x="27"/>
        <item x="1"/>
        <item x="15"/>
        <item x="22"/>
        <item x="25"/>
        <item x="28"/>
        <item x="3"/>
        <item x="16"/>
        <item x="30"/>
        <item x="10"/>
        <item x="5"/>
        <item x="14"/>
        <item x="11"/>
        <item x="4"/>
        <item x="26"/>
        <item x="6"/>
        <item x="23"/>
        <item x="13"/>
        <item x="19"/>
        <item x="0"/>
        <item x="12"/>
        <item x="8"/>
        <item x="9"/>
        <item x="18"/>
        <item x="29"/>
        <item x="21"/>
        <item x="24"/>
        <item t="default"/>
      </items>
    </pivotField>
    <pivotField showAll="0">
      <items count="3">
        <item x="0"/>
        <item x="1"/>
        <item t="default"/>
      </items>
    </pivotField>
    <pivotField dataField="1" showAl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Sum of Population" fld="11" baseField="0" baseItem="0"/>
  </dataFields>
  <chartFormats count="3">
    <chartFormat chart="3" format="6"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4FCD92-8AF7-4075-B67E-164270D84F3B}"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2">
    <pivotField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axis="axisRow" showAll="0">
      <items count="5">
        <item x="1"/>
        <item x="2"/>
        <item x="0"/>
        <item x="3"/>
        <item t="default"/>
      </items>
    </pivotField>
    <pivotField showAll="0"/>
    <pivotField showAll="0"/>
    <pivotField showAll="0"/>
    <pivotField showAll="0"/>
    <pivotField showAll="0"/>
    <pivotField showAll="0">
      <items count="34">
        <item x="21"/>
        <item x="25"/>
        <item x="22"/>
        <item x="18"/>
        <item x="19"/>
        <item x="31"/>
        <item x="11"/>
        <item x="14"/>
        <item x="20"/>
        <item x="8"/>
        <item x="0"/>
        <item x="15"/>
        <item x="32"/>
        <item x="28"/>
        <item x="24"/>
        <item x="27"/>
        <item x="13"/>
        <item x="3"/>
        <item x="12"/>
        <item x="6"/>
        <item x="17"/>
        <item x="4"/>
        <item x="10"/>
        <item x="5"/>
        <item x="9"/>
        <item x="29"/>
        <item x="30"/>
        <item x="23"/>
        <item x="26"/>
        <item x="1"/>
        <item x="2"/>
        <item x="16"/>
        <item x="7"/>
        <item t="default"/>
      </items>
    </pivotField>
    <pivotField showAll="0">
      <items count="3">
        <item x="1"/>
        <item x="0"/>
        <item t="default"/>
      </items>
    </pivotField>
    <pivotField showAll="0">
      <items count="32">
        <item x="7"/>
        <item x="20"/>
        <item x="17"/>
        <item x="2"/>
        <item x="27"/>
        <item x="1"/>
        <item x="15"/>
        <item x="22"/>
        <item x="25"/>
        <item x="28"/>
        <item x="3"/>
        <item x="16"/>
        <item x="30"/>
        <item x="10"/>
        <item x="5"/>
        <item x="14"/>
        <item x="11"/>
        <item x="4"/>
        <item x="26"/>
        <item x="6"/>
        <item x="23"/>
        <item x="13"/>
        <item x="19"/>
        <item x="0"/>
        <item x="12"/>
        <item x="8"/>
        <item x="9"/>
        <item x="18"/>
        <item x="29"/>
        <item x="21"/>
        <item x="24"/>
        <item t="default"/>
      </items>
    </pivotField>
    <pivotField showAll="0">
      <items count="3">
        <item x="0"/>
        <item x="1"/>
        <item t="default"/>
      </items>
    </pivotField>
    <pivotField dataField="1" showAll="0"/>
  </pivotFields>
  <rowFields count="1">
    <field x="1"/>
  </rowFields>
  <rowItems count="5">
    <i>
      <x/>
    </i>
    <i>
      <x v="1"/>
    </i>
    <i>
      <x v="2"/>
    </i>
    <i>
      <x v="3"/>
    </i>
    <i t="grand">
      <x/>
    </i>
  </rowItems>
  <colItems count="1">
    <i/>
  </colItems>
  <dataFields count="1">
    <dataField name="Sum of Population" fld="11" baseField="0" baseItem="0"/>
  </dataFields>
  <chartFormats count="2">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295560-01A1-4893-AC7B-FCF316B0A4A3}"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2">
    <pivotField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axis="axisRow" showAll="0">
      <items count="5">
        <item x="1"/>
        <item x="2"/>
        <item x="0"/>
        <item x="3"/>
        <item t="default"/>
      </items>
    </pivotField>
    <pivotField showAll="0"/>
    <pivotField showAll="0"/>
    <pivotField showAll="0"/>
    <pivotField dataField="1" showAll="0"/>
    <pivotField showAll="0"/>
    <pivotField showAll="0"/>
    <pivotField showAll="0">
      <items count="3">
        <item x="1"/>
        <item x="0"/>
        <item t="default"/>
      </items>
    </pivotField>
    <pivotField showAll="0"/>
    <pivotField showAll="0">
      <items count="3">
        <item x="0"/>
        <item x="1"/>
        <item t="default"/>
      </items>
    </pivotField>
    <pivotField showAll="0"/>
  </pivotFields>
  <rowFields count="1">
    <field x="1"/>
  </rowFields>
  <rowItems count="5">
    <i>
      <x/>
    </i>
    <i>
      <x v="1"/>
    </i>
    <i>
      <x v="2"/>
    </i>
    <i>
      <x v="3"/>
    </i>
    <i t="grand">
      <x/>
    </i>
  </rowItems>
  <colItems count="1">
    <i/>
  </colItems>
  <dataFields count="1">
    <dataField name="Sum of Deaths" fld="5" baseField="0" baseItem="0"/>
  </dataField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 chart="5" format="9">
      <pivotArea type="data" outline="0" fieldPosition="0">
        <references count="2">
          <reference field="4294967294" count="1" selected="0">
            <x v="0"/>
          </reference>
          <reference field="1" count="1" selected="0">
            <x v="2"/>
          </reference>
        </references>
      </pivotArea>
    </chartFormat>
    <chartFormat chart="5"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74F823-F4C1-46BD-B562-B06CC0A0CE71}"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40" firstHeaderRow="1" firstDataRow="1" firstDataCol="1"/>
  <pivotFields count="12">
    <pivotField axis="axisRow"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5">
        <item x="1"/>
        <item x="2"/>
        <item x="0"/>
        <item x="3"/>
        <item t="default"/>
      </items>
    </pivotField>
    <pivotField dataField="1" showAll="0"/>
    <pivotField showAll="0"/>
    <pivotField showAll="0"/>
    <pivotField showAll="0"/>
    <pivotField showAll="0"/>
    <pivotField showAll="0"/>
    <pivotField showAll="0">
      <items count="3">
        <item x="1"/>
        <item x="0"/>
        <item t="default"/>
      </items>
    </pivotField>
    <pivotField showAll="0"/>
    <pivotField showAll="0">
      <items count="3">
        <item x="0"/>
        <item x="1"/>
        <item t="default"/>
      </items>
    </pivotField>
    <pivotField showAl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Sum of Total Cases" fld="2"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th_Avg" xr10:uid="{97A9D49F-8A8A-45A3-99F1-3DCA2DE5BE07}" sourceName="Death Avg">
  <pivotTables>
    <pivotTable tabId="12" name="PivotTable1"/>
    <pivotTable tabId="9" name="PivotTable1"/>
    <pivotTable tabId="13" name="PivotTable1"/>
    <pivotTable tabId="14" name="PivotTable1"/>
    <pivotTable tabId="11" name="PivotTable1"/>
    <pivotTable tabId="15" name="PivotTable1"/>
  </pivotTables>
  <data>
    <tabular pivotCacheId="166591796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harge_Avg" xr10:uid="{2A4F0F0A-6522-4C7B-B888-74020369C1F0}" sourceName="Discharge Avg">
  <pivotTables>
    <pivotTable tabId="11" name="PivotTable1"/>
    <pivotTable tabId="9" name="PivotTable1"/>
    <pivotTable tabId="13" name="PivotTable1"/>
    <pivotTable tabId="12" name="PivotTable1"/>
    <pivotTable tabId="14" name="PivotTable1"/>
    <pivotTable tabId="15" name="PivotTable1"/>
  </pivotTables>
  <data>
    <tabular pivotCacheId="166591796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446AEA8C-D4EF-4FB4-9544-29B85CDE31E5}" sourceName="Zone">
  <pivotTables>
    <pivotTable tabId="9" name="PivotTable1"/>
    <pivotTable tabId="13" name="PivotTable1"/>
    <pivotTable tabId="12" name="PivotTable1"/>
    <pivotTable tabId="15" name="PivotTable1"/>
    <pivotTable tabId="14" name="PivotTable1"/>
    <pivotTable tabId="11" name="PivotTable1"/>
  </pivotTables>
  <data>
    <tabular pivotCacheId="1665917966">
      <items count="4">
        <i x="1" s="1"/>
        <i x="2"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UTs" xr10:uid="{E014E771-1376-4F0E-93C8-8E4E5D11C308}" sourceName="State/UTs">
  <pivotTables>
    <pivotTable tabId="9" name="PivotTable1"/>
    <pivotTable tabId="13" name="PivotTable1"/>
    <pivotTable tabId="12" name="PivotTable1"/>
    <pivotTable tabId="15" name="PivotTable1"/>
    <pivotTable tabId="14" name="PivotTable1"/>
    <pivotTable tabId="11" name="PivotTable1"/>
  </pivotTables>
  <data>
    <tabular pivotCacheId="1665917966">
      <items count="36">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ath Avg" xr10:uid="{76EDE45E-5C86-434B-AB7D-A79C1B9D8B91}" cache="Slicer_Death_Avg" caption="Death Avg" rowHeight="234950"/>
  <slicer name="Discharge Avg" xr10:uid="{A631FBCA-DB47-4B5F-91A3-A9A2242253C2}" cache="Slicer_Discharge_Avg" caption="Discharge Avg" rowHeight="234950"/>
  <slicer name="Zone" xr10:uid="{FDFDBA10-0CD9-4847-BA0D-B405FCF969FA}" cache="Slicer_Zone" caption="Zone" rowHeight="234950"/>
  <slicer name="State/UTs" xr10:uid="{1D568325-995F-4B51-ADF2-BF52B7A5A838}" cache="Slicer_State_UTs" caption="State/UT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67FB8-C43A-4343-80A0-75FD188594B4}">
  <dimension ref="A1:W21"/>
  <sheetViews>
    <sheetView tabSelected="1" workbookViewId="0">
      <selection sqref="A1:W4"/>
    </sheetView>
  </sheetViews>
  <sheetFormatPr defaultRowHeight="14.4" x14ac:dyDescent="0.3"/>
  <sheetData>
    <row r="1" spans="1:23" x14ac:dyDescent="0.3">
      <c r="A1" s="6" t="s">
        <v>61</v>
      </c>
      <c r="B1" s="5"/>
      <c r="C1" s="5"/>
      <c r="D1" s="5"/>
      <c r="E1" s="5"/>
      <c r="F1" s="5"/>
      <c r="G1" s="5"/>
      <c r="H1" s="5"/>
      <c r="I1" s="5"/>
      <c r="J1" s="5"/>
      <c r="K1" s="5"/>
      <c r="L1" s="5"/>
      <c r="M1" s="5"/>
      <c r="N1" s="5"/>
      <c r="O1" s="5"/>
      <c r="P1" s="5"/>
      <c r="Q1" s="5"/>
      <c r="R1" s="5"/>
      <c r="S1" s="5"/>
      <c r="T1" s="5"/>
      <c r="U1" s="5"/>
      <c r="V1" s="5"/>
      <c r="W1" s="5"/>
    </row>
    <row r="2" spans="1:23" x14ac:dyDescent="0.3">
      <c r="A2" s="5"/>
      <c r="B2" s="5"/>
      <c r="C2" s="5"/>
      <c r="D2" s="5"/>
      <c r="E2" s="5"/>
      <c r="F2" s="5"/>
      <c r="G2" s="5"/>
      <c r="H2" s="5"/>
      <c r="I2" s="5"/>
      <c r="J2" s="5"/>
      <c r="K2" s="5"/>
      <c r="L2" s="5"/>
      <c r="M2" s="5"/>
      <c r="N2" s="5"/>
      <c r="O2" s="5"/>
      <c r="P2" s="5"/>
      <c r="Q2" s="5"/>
      <c r="R2" s="5"/>
      <c r="S2" s="5"/>
      <c r="T2" s="5"/>
      <c r="U2" s="5"/>
      <c r="V2" s="5"/>
      <c r="W2" s="5"/>
    </row>
    <row r="3" spans="1:23" x14ac:dyDescent="0.3">
      <c r="A3" s="5"/>
      <c r="B3" s="5"/>
      <c r="C3" s="5"/>
      <c r="D3" s="5"/>
      <c r="E3" s="5"/>
      <c r="F3" s="5"/>
      <c r="G3" s="5"/>
      <c r="H3" s="5"/>
      <c r="I3" s="5"/>
      <c r="J3" s="5"/>
      <c r="K3" s="5"/>
      <c r="L3" s="5"/>
      <c r="M3" s="5"/>
      <c r="N3" s="5"/>
      <c r="O3" s="5"/>
      <c r="P3" s="5"/>
      <c r="Q3" s="5"/>
      <c r="R3" s="5"/>
      <c r="S3" s="5"/>
      <c r="T3" s="5"/>
      <c r="U3" s="5"/>
      <c r="V3" s="5"/>
      <c r="W3" s="5"/>
    </row>
    <row r="4" spans="1:23" x14ac:dyDescent="0.3">
      <c r="A4" s="5"/>
      <c r="B4" s="5"/>
      <c r="C4" s="5"/>
      <c r="D4" s="5"/>
      <c r="E4" s="5"/>
      <c r="F4" s="5"/>
      <c r="G4" s="5"/>
      <c r="H4" s="5"/>
      <c r="I4" s="5"/>
      <c r="J4" s="5"/>
      <c r="K4" s="5"/>
      <c r="L4" s="5"/>
      <c r="M4" s="5"/>
      <c r="N4" s="5"/>
      <c r="O4" s="5"/>
      <c r="P4" s="5"/>
      <c r="Q4" s="5"/>
      <c r="R4" s="5"/>
      <c r="S4" s="5"/>
      <c r="T4" s="5"/>
      <c r="U4" s="5"/>
      <c r="V4" s="5"/>
      <c r="W4" s="5"/>
    </row>
    <row r="21" spans="2:2" x14ac:dyDescent="0.3">
      <c r="B21" s="7"/>
    </row>
  </sheetData>
  <mergeCells count="1">
    <mergeCell ref="A1:W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BE482-E9A1-4D34-8640-DC74CD2B59BC}">
  <dimension ref="A3:B8"/>
  <sheetViews>
    <sheetView workbookViewId="0">
      <selection activeCell="B4" sqref="B4"/>
    </sheetView>
  </sheetViews>
  <sheetFormatPr defaultRowHeight="14.4" x14ac:dyDescent="0.3"/>
  <cols>
    <col min="1" max="1" width="12.5546875" bestFit="1" customWidth="1"/>
    <col min="2" max="2" width="20.5546875" bestFit="1" customWidth="1"/>
    <col min="3" max="3" width="13.33203125" bestFit="1" customWidth="1"/>
  </cols>
  <sheetData>
    <row r="3" spans="1:2" x14ac:dyDescent="0.3">
      <c r="A3" s="2" t="s">
        <v>52</v>
      </c>
      <c r="B3" t="s">
        <v>54</v>
      </c>
    </row>
    <row r="4" spans="1:2" x14ac:dyDescent="0.3">
      <c r="A4" s="3" t="s">
        <v>16</v>
      </c>
      <c r="B4" s="4">
        <v>1276.5200000000002</v>
      </c>
    </row>
    <row r="5" spans="1:2" x14ac:dyDescent="0.3">
      <c r="A5" s="3" t="s">
        <v>20</v>
      </c>
      <c r="B5" s="4">
        <v>883.6</v>
      </c>
    </row>
    <row r="6" spans="1:2" x14ac:dyDescent="0.3">
      <c r="A6" s="3" t="s">
        <v>13</v>
      </c>
      <c r="B6" s="4">
        <v>788.75</v>
      </c>
    </row>
    <row r="7" spans="1:2" x14ac:dyDescent="0.3">
      <c r="A7" s="3" t="s">
        <v>23</v>
      </c>
      <c r="B7" s="4">
        <v>592.01999999999987</v>
      </c>
    </row>
    <row r="8" spans="1:2" x14ac:dyDescent="0.3">
      <c r="A8" s="3" t="s">
        <v>53</v>
      </c>
      <c r="B8" s="4">
        <v>3540.8900000000003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C9B71-7FBB-4E92-9CCC-096D87210FA8}">
  <dimension ref="A3:B40"/>
  <sheetViews>
    <sheetView workbookViewId="0">
      <selection activeCell="D19" sqref="D19"/>
    </sheetView>
  </sheetViews>
  <sheetFormatPr defaultRowHeight="14.4" x14ac:dyDescent="0.3"/>
  <cols>
    <col min="1" max="1" width="19.21875" bestFit="1" customWidth="1"/>
    <col min="2" max="2" width="17.44140625" bestFit="1" customWidth="1"/>
    <col min="3" max="3" width="13.33203125" bestFit="1" customWidth="1"/>
  </cols>
  <sheetData>
    <row r="3" spans="1:2" x14ac:dyDescent="0.3">
      <c r="A3" s="2" t="s">
        <v>52</v>
      </c>
      <c r="B3" t="s">
        <v>55</v>
      </c>
    </row>
    <row r="4" spans="1:2" x14ac:dyDescent="0.3">
      <c r="A4" s="3" t="s">
        <v>12</v>
      </c>
      <c r="B4" s="4">
        <v>1.68</v>
      </c>
    </row>
    <row r="5" spans="1:2" x14ac:dyDescent="0.3">
      <c r="A5" s="3" t="s">
        <v>14</v>
      </c>
      <c r="B5" s="4">
        <v>0.7</v>
      </c>
    </row>
    <row r="6" spans="1:2" x14ac:dyDescent="0.3">
      <c r="A6" s="3" t="s">
        <v>15</v>
      </c>
      <c r="B6" s="4">
        <v>0.51</v>
      </c>
    </row>
    <row r="7" spans="1:2" x14ac:dyDescent="0.3">
      <c r="A7" s="3" t="s">
        <v>17</v>
      </c>
      <c r="B7" s="4">
        <v>0.99</v>
      </c>
    </row>
    <row r="8" spans="1:2" x14ac:dyDescent="0.3">
      <c r="A8" s="3" t="s">
        <v>18</v>
      </c>
      <c r="B8" s="4">
        <v>1.33</v>
      </c>
    </row>
    <row r="9" spans="1:2" x14ac:dyDescent="0.3">
      <c r="A9" s="3" t="s">
        <v>19</v>
      </c>
      <c r="B9" s="4">
        <v>1.25</v>
      </c>
    </row>
    <row r="10" spans="1:2" x14ac:dyDescent="0.3">
      <c r="A10" s="3" t="s">
        <v>21</v>
      </c>
      <c r="B10" s="4">
        <v>1.35</v>
      </c>
    </row>
    <row r="11" spans="1:2" x14ac:dyDescent="0.3">
      <c r="A11" s="3" t="s">
        <v>22</v>
      </c>
      <c r="B11" s="4">
        <v>0.04</v>
      </c>
    </row>
    <row r="12" spans="1:2" x14ac:dyDescent="0.3">
      <c r="A12" s="3" t="s">
        <v>24</v>
      </c>
      <c r="B12" s="4">
        <v>1.74</v>
      </c>
    </row>
    <row r="13" spans="1:2" x14ac:dyDescent="0.3">
      <c r="A13" s="3" t="s">
        <v>25</v>
      </c>
      <c r="B13" s="4">
        <v>1.89</v>
      </c>
    </row>
    <row r="14" spans="1:2" x14ac:dyDescent="0.3">
      <c r="A14" s="3" t="s">
        <v>26</v>
      </c>
      <c r="B14" s="4">
        <v>1.22</v>
      </c>
    </row>
    <row r="15" spans="1:2" x14ac:dyDescent="0.3">
      <c r="A15" s="3" t="s">
        <v>27</v>
      </c>
      <c r="B15" s="4">
        <v>1.3</v>
      </c>
    </row>
    <row r="16" spans="1:2" x14ac:dyDescent="0.3">
      <c r="A16" s="3" t="s">
        <v>28</v>
      </c>
      <c r="B16" s="4">
        <v>1.69</v>
      </c>
    </row>
    <row r="17" spans="1:2" x14ac:dyDescent="0.3">
      <c r="A17" s="3" t="s">
        <v>29</v>
      </c>
      <c r="B17" s="4">
        <v>1.33</v>
      </c>
    </row>
    <row r="18" spans="1:2" x14ac:dyDescent="0.3">
      <c r="A18" s="3" t="s">
        <v>30</v>
      </c>
      <c r="B18" s="4">
        <v>1.47</v>
      </c>
    </row>
    <row r="19" spans="1:2" x14ac:dyDescent="0.3">
      <c r="A19" s="3" t="s">
        <v>31</v>
      </c>
      <c r="B19" s="4">
        <v>1.27</v>
      </c>
    </row>
    <row r="20" spans="1:2" x14ac:dyDescent="0.3">
      <c r="A20" s="3" t="s">
        <v>32</v>
      </c>
      <c r="B20" s="4">
        <v>0.71</v>
      </c>
    </row>
    <row r="21" spans="1:2" x14ac:dyDescent="0.3">
      <c r="A21" s="3" t="s">
        <v>33</v>
      </c>
      <c r="B21" s="4">
        <v>1</v>
      </c>
    </row>
    <row r="22" spans="1:2" x14ac:dyDescent="0.3">
      <c r="A22" s="3" t="s">
        <v>34</v>
      </c>
      <c r="B22" s="4">
        <v>0.49</v>
      </c>
    </row>
    <row r="23" spans="1:2" x14ac:dyDescent="0.3">
      <c r="A23" s="3" t="s">
        <v>35</v>
      </c>
      <c r="B23" s="4">
        <v>1.33</v>
      </c>
    </row>
    <row r="24" spans="1:2" x14ac:dyDescent="0.3">
      <c r="A24" s="3" t="s">
        <v>36</v>
      </c>
      <c r="B24" s="4">
        <v>2.12</v>
      </c>
    </row>
    <row r="25" spans="1:2" x14ac:dyDescent="0.3">
      <c r="A25" s="3" t="s">
        <v>37</v>
      </c>
      <c r="B25" s="4">
        <v>1.56</v>
      </c>
    </row>
    <row r="26" spans="1:2" x14ac:dyDescent="0.3">
      <c r="A26" s="3" t="s">
        <v>38</v>
      </c>
      <c r="B26" s="4">
        <v>1.74</v>
      </c>
    </row>
    <row r="27" spans="1:2" x14ac:dyDescent="0.3">
      <c r="A27" s="3" t="s">
        <v>39</v>
      </c>
      <c r="B27" s="4">
        <v>0.36</v>
      </c>
    </row>
    <row r="28" spans="1:2" x14ac:dyDescent="0.3">
      <c r="A28" s="3" t="s">
        <v>40</v>
      </c>
      <c r="B28" s="4">
        <v>2.16</v>
      </c>
    </row>
    <row r="29" spans="1:2" x14ac:dyDescent="0.3">
      <c r="A29" s="3" t="s">
        <v>41</v>
      </c>
      <c r="B29" s="4">
        <v>0.8</v>
      </c>
    </row>
    <row r="30" spans="1:2" x14ac:dyDescent="0.3">
      <c r="A30" s="3" t="s">
        <v>42</v>
      </c>
      <c r="B30" s="4">
        <v>1.45</v>
      </c>
    </row>
    <row r="31" spans="1:2" x14ac:dyDescent="0.3">
      <c r="A31" s="3" t="s">
        <v>43</v>
      </c>
      <c r="B31" s="4">
        <v>2.75</v>
      </c>
    </row>
    <row r="32" spans="1:2" x14ac:dyDescent="0.3">
      <c r="A32" s="3" t="s">
        <v>44</v>
      </c>
      <c r="B32" s="4">
        <v>0.94</v>
      </c>
    </row>
    <row r="33" spans="1:2" x14ac:dyDescent="0.3">
      <c r="A33" s="3" t="s">
        <v>45</v>
      </c>
      <c r="B33" s="4">
        <v>1.25</v>
      </c>
    </row>
    <row r="34" spans="1:2" x14ac:dyDescent="0.3">
      <c r="A34" s="3" t="s">
        <v>46</v>
      </c>
      <c r="B34" s="4">
        <v>1.34</v>
      </c>
    </row>
    <row r="35" spans="1:2" x14ac:dyDescent="0.3">
      <c r="A35" s="3" t="s">
        <v>47</v>
      </c>
      <c r="B35" s="4">
        <v>0.59</v>
      </c>
    </row>
    <row r="36" spans="1:2" x14ac:dyDescent="0.3">
      <c r="A36" s="3" t="s">
        <v>48</v>
      </c>
      <c r="B36" s="4">
        <v>0.96</v>
      </c>
    </row>
    <row r="37" spans="1:2" x14ac:dyDescent="0.3">
      <c r="A37" s="3" t="s">
        <v>49</v>
      </c>
      <c r="B37" s="4">
        <v>1.34</v>
      </c>
    </row>
    <row r="38" spans="1:2" x14ac:dyDescent="0.3">
      <c r="A38" s="3" t="s">
        <v>50</v>
      </c>
      <c r="B38" s="4">
        <v>2.15</v>
      </c>
    </row>
    <row r="39" spans="1:2" x14ac:dyDescent="0.3">
      <c r="A39" s="3" t="s">
        <v>51</v>
      </c>
      <c r="B39" s="4">
        <v>1.2</v>
      </c>
    </row>
    <row r="40" spans="1:2" x14ac:dyDescent="0.3">
      <c r="A40" s="3" t="s">
        <v>53</v>
      </c>
      <c r="B40" s="4">
        <v>46.000000000000007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97F09-9242-4F87-ADEE-302F5A21F05A}">
  <dimension ref="A3:B40"/>
  <sheetViews>
    <sheetView workbookViewId="0">
      <selection activeCell="B4" sqref="B4"/>
    </sheetView>
  </sheetViews>
  <sheetFormatPr defaultRowHeight="14.4" x14ac:dyDescent="0.3"/>
  <cols>
    <col min="1" max="1" width="19.21875" bestFit="1" customWidth="1"/>
    <col min="2" max="2" width="16.77734375" bestFit="1" customWidth="1"/>
    <col min="3" max="3" width="13.33203125" bestFit="1" customWidth="1"/>
  </cols>
  <sheetData>
    <row r="3" spans="1:2" x14ac:dyDescent="0.3">
      <c r="A3" s="2" t="s">
        <v>52</v>
      </c>
      <c r="B3" t="s">
        <v>60</v>
      </c>
    </row>
    <row r="4" spans="1:2" x14ac:dyDescent="0.3">
      <c r="A4" s="3" t="s">
        <v>12</v>
      </c>
      <c r="B4" s="4">
        <v>399001</v>
      </c>
    </row>
    <row r="5" spans="1:2" x14ac:dyDescent="0.3">
      <c r="A5" s="3" t="s">
        <v>14</v>
      </c>
      <c r="B5" s="4">
        <v>91702478</v>
      </c>
    </row>
    <row r="6" spans="1:2" x14ac:dyDescent="0.3">
      <c r="A6" s="3" t="s">
        <v>15</v>
      </c>
      <c r="B6" s="4">
        <v>1711947</v>
      </c>
    </row>
    <row r="7" spans="1:2" x14ac:dyDescent="0.3">
      <c r="A7" s="3" t="s">
        <v>17</v>
      </c>
      <c r="B7" s="4">
        <v>35998752</v>
      </c>
    </row>
    <row r="8" spans="1:2" x14ac:dyDescent="0.3">
      <c r="A8" s="3" t="s">
        <v>18</v>
      </c>
      <c r="B8" s="4">
        <v>128500364</v>
      </c>
    </row>
    <row r="9" spans="1:2" x14ac:dyDescent="0.3">
      <c r="A9" s="3" t="s">
        <v>19</v>
      </c>
      <c r="B9" s="4">
        <v>1158040</v>
      </c>
    </row>
    <row r="10" spans="1:2" x14ac:dyDescent="0.3">
      <c r="A10" s="3" t="s">
        <v>21</v>
      </c>
      <c r="B10" s="4">
        <v>32199722</v>
      </c>
    </row>
    <row r="11" spans="1:2" x14ac:dyDescent="0.3">
      <c r="A11" s="3" t="s">
        <v>22</v>
      </c>
      <c r="B11" s="4">
        <v>773997</v>
      </c>
    </row>
    <row r="12" spans="1:2" x14ac:dyDescent="0.3">
      <c r="A12" s="3" t="s">
        <v>24</v>
      </c>
      <c r="B12" s="4">
        <v>19301096</v>
      </c>
    </row>
    <row r="13" spans="1:2" x14ac:dyDescent="0.3">
      <c r="A13" s="3" t="s">
        <v>25</v>
      </c>
      <c r="B13" s="4">
        <v>1521992</v>
      </c>
    </row>
    <row r="14" spans="1:2" x14ac:dyDescent="0.3">
      <c r="A14" s="3" t="s">
        <v>26</v>
      </c>
      <c r="B14" s="4">
        <v>70400153</v>
      </c>
    </row>
    <row r="15" spans="1:2" x14ac:dyDescent="0.3">
      <c r="A15" s="3" t="s">
        <v>27</v>
      </c>
      <c r="B15" s="4">
        <v>28900667</v>
      </c>
    </row>
    <row r="16" spans="1:2" x14ac:dyDescent="0.3">
      <c r="A16" s="3" t="s">
        <v>28</v>
      </c>
      <c r="B16" s="4">
        <v>7503010</v>
      </c>
    </row>
    <row r="17" spans="1:2" x14ac:dyDescent="0.3">
      <c r="A17" s="3" t="s">
        <v>29</v>
      </c>
      <c r="B17" s="4">
        <v>14999397</v>
      </c>
    </row>
    <row r="18" spans="1:2" x14ac:dyDescent="0.3">
      <c r="A18" s="3" t="s">
        <v>30</v>
      </c>
      <c r="B18" s="4">
        <v>40100376</v>
      </c>
    </row>
    <row r="19" spans="1:2" x14ac:dyDescent="0.3">
      <c r="A19" s="3" t="s">
        <v>31</v>
      </c>
      <c r="B19" s="4">
        <v>69599762</v>
      </c>
    </row>
    <row r="20" spans="1:2" x14ac:dyDescent="0.3">
      <c r="A20" s="3" t="s">
        <v>32</v>
      </c>
      <c r="B20" s="4">
        <v>34698876</v>
      </c>
    </row>
    <row r="21" spans="1:2" x14ac:dyDescent="0.3">
      <c r="A21" s="3" t="s">
        <v>33</v>
      </c>
      <c r="B21" s="4">
        <v>290492</v>
      </c>
    </row>
    <row r="22" spans="1:2" x14ac:dyDescent="0.3">
      <c r="A22" s="3" t="s">
        <v>34</v>
      </c>
      <c r="B22" s="4">
        <v>66001</v>
      </c>
    </row>
    <row r="23" spans="1:2" x14ac:dyDescent="0.3">
      <c r="A23" s="3" t="s">
        <v>35</v>
      </c>
      <c r="B23" s="4">
        <v>85002417</v>
      </c>
    </row>
    <row r="24" spans="1:2" x14ac:dyDescent="0.3">
      <c r="A24" s="3" t="s">
        <v>36</v>
      </c>
      <c r="B24" s="4">
        <v>124904071</v>
      </c>
    </row>
    <row r="25" spans="1:2" x14ac:dyDescent="0.3">
      <c r="A25" s="3" t="s">
        <v>37</v>
      </c>
      <c r="B25" s="4">
        <v>3436948</v>
      </c>
    </row>
    <row r="26" spans="1:2" x14ac:dyDescent="0.3">
      <c r="A26" s="3" t="s">
        <v>38</v>
      </c>
      <c r="B26" s="4">
        <v>3772103</v>
      </c>
    </row>
    <row r="27" spans="1:2" x14ac:dyDescent="0.3">
      <c r="A27" s="3" t="s">
        <v>39</v>
      </c>
      <c r="B27" s="4">
        <v>1308967</v>
      </c>
    </row>
    <row r="28" spans="1:2" x14ac:dyDescent="0.3">
      <c r="A28" s="3" t="s">
        <v>40</v>
      </c>
      <c r="B28" s="4">
        <v>2073074</v>
      </c>
    </row>
    <row r="29" spans="1:2" x14ac:dyDescent="0.3">
      <c r="A29" s="3" t="s">
        <v>41</v>
      </c>
      <c r="B29" s="4">
        <v>47099270</v>
      </c>
    </row>
    <row r="30" spans="1:2" x14ac:dyDescent="0.3">
      <c r="A30" s="3" t="s">
        <v>42</v>
      </c>
      <c r="B30" s="4">
        <v>1646050</v>
      </c>
    </row>
    <row r="31" spans="1:2" x14ac:dyDescent="0.3">
      <c r="A31" s="3" t="s">
        <v>43</v>
      </c>
      <c r="B31" s="4">
        <v>30501026</v>
      </c>
    </row>
    <row r="32" spans="1:2" x14ac:dyDescent="0.3">
      <c r="A32" s="3" t="s">
        <v>44</v>
      </c>
      <c r="B32" s="4">
        <v>79502477</v>
      </c>
    </row>
    <row r="33" spans="1:2" x14ac:dyDescent="0.3">
      <c r="A33" s="3" t="s">
        <v>45</v>
      </c>
      <c r="B33" s="4">
        <v>658019</v>
      </c>
    </row>
    <row r="34" spans="1:2" x14ac:dyDescent="0.3">
      <c r="A34" s="3" t="s">
        <v>46</v>
      </c>
      <c r="B34" s="4">
        <v>83697770</v>
      </c>
    </row>
    <row r="35" spans="1:2" x14ac:dyDescent="0.3">
      <c r="A35" s="3" t="s">
        <v>47</v>
      </c>
      <c r="B35" s="4">
        <v>38157311</v>
      </c>
    </row>
    <row r="36" spans="1:2" x14ac:dyDescent="0.3">
      <c r="A36" s="3" t="s">
        <v>48</v>
      </c>
      <c r="B36" s="4">
        <v>4184959</v>
      </c>
    </row>
    <row r="37" spans="1:2" x14ac:dyDescent="0.3">
      <c r="A37" s="3" t="s">
        <v>49</v>
      </c>
      <c r="B37" s="4">
        <v>231502578</v>
      </c>
    </row>
    <row r="38" spans="1:2" x14ac:dyDescent="0.3">
      <c r="A38" s="3" t="s">
        <v>50</v>
      </c>
      <c r="B38" s="4">
        <v>11700099</v>
      </c>
    </row>
    <row r="39" spans="1:2" x14ac:dyDescent="0.3">
      <c r="A39" s="3" t="s">
        <v>51</v>
      </c>
      <c r="B39" s="4">
        <v>100896618</v>
      </c>
    </row>
    <row r="40" spans="1:2" x14ac:dyDescent="0.3">
      <c r="A40" s="3" t="s">
        <v>53</v>
      </c>
      <c r="B40" s="4">
        <v>1429869880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AE9CF-87DE-4C7E-85C0-5A1520EC9049}">
  <dimension ref="A3:B8"/>
  <sheetViews>
    <sheetView workbookViewId="0">
      <selection activeCell="B3" sqref="B3"/>
    </sheetView>
  </sheetViews>
  <sheetFormatPr defaultRowHeight="14.4" x14ac:dyDescent="0.3"/>
  <cols>
    <col min="1" max="1" width="12.5546875" bestFit="1" customWidth="1"/>
    <col min="2" max="2" width="16.77734375" bestFit="1" customWidth="1"/>
    <col min="3" max="3" width="13.33203125" bestFit="1" customWidth="1"/>
  </cols>
  <sheetData>
    <row r="3" spans="1:2" x14ac:dyDescent="0.3">
      <c r="A3" s="2" t="s">
        <v>52</v>
      </c>
      <c r="B3" t="s">
        <v>60</v>
      </c>
    </row>
    <row r="4" spans="1:2" x14ac:dyDescent="0.3">
      <c r="A4" s="3" t="s">
        <v>16</v>
      </c>
      <c r="B4" s="4">
        <v>401941119</v>
      </c>
    </row>
    <row r="5" spans="1:2" x14ac:dyDescent="0.3">
      <c r="A5" s="3" t="s">
        <v>20</v>
      </c>
      <c r="B5" s="4">
        <v>345856405</v>
      </c>
    </row>
    <row r="6" spans="1:2" x14ac:dyDescent="0.3">
      <c r="A6" s="3" t="s">
        <v>13</v>
      </c>
      <c r="B6" s="4">
        <v>319967249</v>
      </c>
    </row>
    <row r="7" spans="1:2" x14ac:dyDescent="0.3">
      <c r="A7" s="3" t="s">
        <v>23</v>
      </c>
      <c r="B7" s="4">
        <v>362105107</v>
      </c>
    </row>
    <row r="8" spans="1:2" x14ac:dyDescent="0.3">
      <c r="A8" s="3" t="s">
        <v>53</v>
      </c>
      <c r="B8" s="4">
        <v>1429869880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F5C8E-0CB8-45E4-B05C-68531A643347}">
  <dimension ref="A3:B8"/>
  <sheetViews>
    <sheetView workbookViewId="0">
      <selection activeCell="J27" sqref="J27"/>
    </sheetView>
  </sheetViews>
  <sheetFormatPr defaultRowHeight="14.4" x14ac:dyDescent="0.3"/>
  <cols>
    <col min="1" max="1" width="12.5546875" bestFit="1" customWidth="1"/>
    <col min="2" max="2" width="13.33203125" bestFit="1" customWidth="1"/>
  </cols>
  <sheetData>
    <row r="3" spans="1:2" x14ac:dyDescent="0.3">
      <c r="A3" s="2" t="s">
        <v>52</v>
      </c>
      <c r="B3" t="s">
        <v>59</v>
      </c>
    </row>
    <row r="4" spans="1:2" x14ac:dyDescent="0.3">
      <c r="A4" s="3" t="s">
        <v>16</v>
      </c>
      <c r="B4" s="4">
        <v>68173</v>
      </c>
    </row>
    <row r="5" spans="1:2" x14ac:dyDescent="0.3">
      <c r="A5" s="3" t="s">
        <v>20</v>
      </c>
      <c r="B5" s="4">
        <v>91317</v>
      </c>
    </row>
    <row r="6" spans="1:2" x14ac:dyDescent="0.3">
      <c r="A6" s="3" t="s">
        <v>13</v>
      </c>
      <c r="B6" s="4">
        <v>130529</v>
      </c>
    </row>
    <row r="7" spans="1:2" x14ac:dyDescent="0.3">
      <c r="A7" s="3" t="s">
        <v>23</v>
      </c>
      <c r="B7" s="4">
        <v>173511</v>
      </c>
    </row>
    <row r="8" spans="1:2" x14ac:dyDescent="0.3">
      <c r="A8" s="3" t="s">
        <v>53</v>
      </c>
      <c r="B8" s="4">
        <v>463530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0ADD0-52D0-4C22-BCEF-F27B7983AFDB}">
  <dimension ref="A3:B40"/>
  <sheetViews>
    <sheetView workbookViewId="0">
      <selection activeCell="B3" sqref="B3"/>
    </sheetView>
  </sheetViews>
  <sheetFormatPr defaultRowHeight="14.4" x14ac:dyDescent="0.3"/>
  <cols>
    <col min="1" max="1" width="19.21875" bestFit="1" customWidth="1"/>
    <col min="2" max="2" width="16.88671875" bestFit="1" customWidth="1"/>
  </cols>
  <sheetData>
    <row r="3" spans="1:2" x14ac:dyDescent="0.3">
      <c r="A3" s="2" t="s">
        <v>52</v>
      </c>
      <c r="B3" t="s">
        <v>58</v>
      </c>
    </row>
    <row r="4" spans="1:2" x14ac:dyDescent="0.3">
      <c r="A4" s="3" t="s">
        <v>12</v>
      </c>
      <c r="B4" s="4">
        <v>7670</v>
      </c>
    </row>
    <row r="5" spans="1:2" x14ac:dyDescent="0.3">
      <c r="A5" s="3" t="s">
        <v>14</v>
      </c>
      <c r="B5" s="4">
        <v>2069770</v>
      </c>
    </row>
    <row r="6" spans="1:2" x14ac:dyDescent="0.3">
      <c r="A6" s="3" t="s">
        <v>15</v>
      </c>
      <c r="B6" s="4">
        <v>55216</v>
      </c>
    </row>
    <row r="7" spans="1:2" x14ac:dyDescent="0.3">
      <c r="A7" s="3" t="s">
        <v>17</v>
      </c>
      <c r="B7" s="4">
        <v>613784</v>
      </c>
    </row>
    <row r="8" spans="1:2" x14ac:dyDescent="0.3">
      <c r="A8" s="3" t="s">
        <v>18</v>
      </c>
      <c r="B8" s="4">
        <v>726153</v>
      </c>
    </row>
    <row r="9" spans="1:2" x14ac:dyDescent="0.3">
      <c r="A9" s="3" t="s">
        <v>19</v>
      </c>
      <c r="B9" s="4">
        <v>65380</v>
      </c>
    </row>
    <row r="10" spans="1:2" x14ac:dyDescent="0.3">
      <c r="A10" s="3" t="s">
        <v>21</v>
      </c>
      <c r="B10" s="4">
        <v>1006326</v>
      </c>
    </row>
    <row r="11" spans="1:2" x14ac:dyDescent="0.3">
      <c r="A11" s="3" t="s">
        <v>22</v>
      </c>
      <c r="B11" s="4">
        <v>10682</v>
      </c>
    </row>
    <row r="12" spans="1:2" x14ac:dyDescent="0.3">
      <c r="A12" s="3" t="s">
        <v>24</v>
      </c>
      <c r="B12" s="4">
        <v>1440388</v>
      </c>
    </row>
    <row r="13" spans="1:2" x14ac:dyDescent="0.3">
      <c r="A13" s="3" t="s">
        <v>25</v>
      </c>
      <c r="B13" s="4">
        <v>178467</v>
      </c>
    </row>
    <row r="14" spans="1:2" x14ac:dyDescent="0.3">
      <c r="A14" s="3" t="s">
        <v>26</v>
      </c>
      <c r="B14" s="4">
        <v>826924</v>
      </c>
    </row>
    <row r="15" spans="1:2" x14ac:dyDescent="0.3">
      <c r="A15" s="3" t="s">
        <v>27</v>
      </c>
      <c r="B15" s="4">
        <v>771420</v>
      </c>
    </row>
    <row r="16" spans="1:2" x14ac:dyDescent="0.3">
      <c r="A16" s="3" t="s">
        <v>28</v>
      </c>
      <c r="B16" s="4">
        <v>225712</v>
      </c>
    </row>
    <row r="17" spans="1:2" x14ac:dyDescent="0.3">
      <c r="A17" s="3" t="s">
        <v>29</v>
      </c>
      <c r="B17" s="4">
        <v>334006</v>
      </c>
    </row>
    <row r="18" spans="1:2" x14ac:dyDescent="0.3">
      <c r="A18" s="3" t="s">
        <v>30</v>
      </c>
      <c r="B18" s="4">
        <v>348992</v>
      </c>
    </row>
    <row r="19" spans="1:2" x14ac:dyDescent="0.3">
      <c r="A19" s="3" t="s">
        <v>31</v>
      </c>
      <c r="B19" s="4">
        <v>2991614</v>
      </c>
    </row>
    <row r="20" spans="1:2" x14ac:dyDescent="0.3">
      <c r="A20" s="3" t="s">
        <v>32</v>
      </c>
      <c r="B20" s="4">
        <v>5055224</v>
      </c>
    </row>
    <row r="21" spans="1:2" x14ac:dyDescent="0.3">
      <c r="A21" s="3" t="s">
        <v>33</v>
      </c>
      <c r="B21" s="4">
        <v>21148</v>
      </c>
    </row>
    <row r="22" spans="1:2" x14ac:dyDescent="0.3">
      <c r="A22" s="3" t="s">
        <v>34</v>
      </c>
      <c r="B22" s="4">
        <v>10365</v>
      </c>
    </row>
    <row r="23" spans="1:2" x14ac:dyDescent="0.3">
      <c r="A23" s="3" t="s">
        <v>35</v>
      </c>
      <c r="B23" s="4">
        <v>792956</v>
      </c>
    </row>
    <row r="24" spans="1:2" x14ac:dyDescent="0.3">
      <c r="A24" s="3" t="s">
        <v>36</v>
      </c>
      <c r="B24" s="4">
        <v>6623344</v>
      </c>
    </row>
    <row r="25" spans="1:2" x14ac:dyDescent="0.3">
      <c r="A25" s="3" t="s">
        <v>37</v>
      </c>
      <c r="B25" s="4">
        <v>124432</v>
      </c>
    </row>
    <row r="26" spans="1:2" x14ac:dyDescent="0.3">
      <c r="A26" s="3" t="s">
        <v>38</v>
      </c>
      <c r="B26" s="4">
        <v>84013</v>
      </c>
    </row>
    <row r="27" spans="1:2" x14ac:dyDescent="0.3">
      <c r="A27" s="3" t="s">
        <v>39</v>
      </c>
      <c r="B27" s="4">
        <v>128604</v>
      </c>
    </row>
    <row r="28" spans="1:2" x14ac:dyDescent="0.3">
      <c r="A28" s="3" t="s">
        <v>40</v>
      </c>
      <c r="B28" s="4">
        <v>31978</v>
      </c>
    </row>
    <row r="29" spans="1:2" x14ac:dyDescent="0.3">
      <c r="A29" s="3" t="s">
        <v>41</v>
      </c>
      <c r="B29" s="4">
        <v>1045209</v>
      </c>
    </row>
    <row r="30" spans="1:2" x14ac:dyDescent="0.3">
      <c r="A30" s="3" t="s">
        <v>42</v>
      </c>
      <c r="B30" s="4">
        <v>128401</v>
      </c>
    </row>
    <row r="31" spans="1:2" x14ac:dyDescent="0.3">
      <c r="A31" s="3" t="s">
        <v>43</v>
      </c>
      <c r="B31" s="4">
        <v>602778</v>
      </c>
    </row>
    <row r="32" spans="1:2" x14ac:dyDescent="0.3">
      <c r="A32" s="3" t="s">
        <v>44</v>
      </c>
      <c r="B32" s="4">
        <v>954503</v>
      </c>
    </row>
    <row r="33" spans="1:2" x14ac:dyDescent="0.3">
      <c r="A33" s="3" t="s">
        <v>45</v>
      </c>
      <c r="B33" s="4">
        <v>32096</v>
      </c>
    </row>
    <row r="34" spans="1:2" x14ac:dyDescent="0.3">
      <c r="A34" s="3" t="s">
        <v>46</v>
      </c>
      <c r="B34" s="4">
        <v>2714025</v>
      </c>
    </row>
    <row r="35" spans="1:2" x14ac:dyDescent="0.3">
      <c r="A35" s="3" t="s">
        <v>47</v>
      </c>
      <c r="B35" s="4">
        <v>673469</v>
      </c>
    </row>
    <row r="36" spans="1:2" x14ac:dyDescent="0.3">
      <c r="A36" s="3" t="s">
        <v>48</v>
      </c>
      <c r="B36" s="4">
        <v>84665</v>
      </c>
    </row>
    <row r="37" spans="1:2" x14ac:dyDescent="0.3">
      <c r="A37" s="3" t="s">
        <v>49</v>
      </c>
      <c r="B37" s="4">
        <v>1710261</v>
      </c>
    </row>
    <row r="38" spans="1:2" x14ac:dyDescent="0.3">
      <c r="A38" s="3" t="s">
        <v>50</v>
      </c>
      <c r="B38" s="4">
        <v>344014</v>
      </c>
    </row>
    <row r="39" spans="1:2" x14ac:dyDescent="0.3">
      <c r="A39" s="3" t="s">
        <v>51</v>
      </c>
      <c r="B39" s="4">
        <v>1603318</v>
      </c>
    </row>
    <row r="40" spans="1:2" x14ac:dyDescent="0.3">
      <c r="A40" s="3" t="s">
        <v>53</v>
      </c>
      <c r="B40" s="4">
        <v>34437307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7"/>
  <sheetViews>
    <sheetView workbookViewId="0">
      <pane xSplit="1" ySplit="1" topLeftCell="B2" activePane="bottomRight" state="frozen"/>
      <selection pane="topRight" activeCell="B1" sqref="B1"/>
      <selection pane="bottomLeft" activeCell="A2" sqref="A2"/>
      <selection pane="bottomRight" activeCell="D1" sqref="D1"/>
    </sheetView>
  </sheetViews>
  <sheetFormatPr defaultColWidth="0" defaultRowHeight="14.4" zeroHeight="1" x14ac:dyDescent="0.3"/>
  <cols>
    <col min="1" max="1" width="19.21875" bestFit="1" customWidth="1"/>
    <col min="2" max="2" width="8.33203125" customWidth="1"/>
    <col min="3" max="3" width="12.77734375" bestFit="1" customWidth="1"/>
    <col min="4" max="4" width="7.77734375" bestFit="1" customWidth="1"/>
    <col min="5" max="5" width="12.77734375" bestFit="1" customWidth="1"/>
    <col min="6" max="6" width="8.44140625" bestFit="1" customWidth="1"/>
    <col min="7" max="7" width="14" bestFit="1" customWidth="1"/>
    <col min="8" max="8" width="17.77734375" bestFit="1" customWidth="1"/>
    <col min="9" max="9" width="16.109375" bestFit="1" customWidth="1"/>
    <col min="10" max="10" width="13.6640625" bestFit="1" customWidth="1"/>
    <col min="11" max="11" width="13.21875" bestFit="1" customWidth="1"/>
    <col min="12" max="12" width="12.44140625" bestFit="1" customWidth="1"/>
    <col min="13" max="16384" width="8.88671875" hidden="1"/>
  </cols>
  <sheetData>
    <row r="1" spans="1:12" ht="18" x14ac:dyDescent="0.35">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13</v>
      </c>
      <c r="C2">
        <v>7670</v>
      </c>
      <c r="D2">
        <v>7</v>
      </c>
      <c r="E2">
        <v>7534</v>
      </c>
      <c r="F2">
        <v>129</v>
      </c>
      <c r="G2">
        <v>0.09</v>
      </c>
      <c r="H2">
        <v>98.23</v>
      </c>
      <c r="I2" t="s">
        <v>56</v>
      </c>
      <c r="J2">
        <v>1.68</v>
      </c>
      <c r="K2" t="s">
        <v>57</v>
      </c>
      <c r="L2">
        <v>399001</v>
      </c>
    </row>
    <row r="3" spans="1:12" x14ac:dyDescent="0.3">
      <c r="A3" t="s">
        <v>14</v>
      </c>
      <c r="B3" t="s">
        <v>13</v>
      </c>
      <c r="C3">
        <v>2069770</v>
      </c>
      <c r="D3">
        <v>3128</v>
      </c>
      <c r="E3">
        <v>2052230</v>
      </c>
      <c r="F3">
        <v>14412</v>
      </c>
      <c r="G3">
        <v>0.15</v>
      </c>
      <c r="H3">
        <v>99.15</v>
      </c>
      <c r="I3" t="s">
        <v>57</v>
      </c>
      <c r="J3">
        <v>0.7</v>
      </c>
      <c r="K3" t="s">
        <v>56</v>
      </c>
      <c r="L3">
        <v>91702478</v>
      </c>
    </row>
    <row r="4" spans="1:12" x14ac:dyDescent="0.3">
      <c r="A4" t="s">
        <v>15</v>
      </c>
      <c r="B4" t="s">
        <v>16</v>
      </c>
      <c r="C4">
        <v>55216</v>
      </c>
      <c r="D4">
        <v>42</v>
      </c>
      <c r="E4">
        <v>54894</v>
      </c>
      <c r="F4">
        <v>280</v>
      </c>
      <c r="G4">
        <v>0.08</v>
      </c>
      <c r="H4">
        <v>99.42</v>
      </c>
      <c r="I4" t="s">
        <v>57</v>
      </c>
      <c r="J4">
        <v>0.51</v>
      </c>
      <c r="K4" t="s">
        <v>56</v>
      </c>
      <c r="L4">
        <v>1711947</v>
      </c>
    </row>
    <row r="5" spans="1:12" x14ac:dyDescent="0.3">
      <c r="A5" t="s">
        <v>17</v>
      </c>
      <c r="B5" t="s">
        <v>16</v>
      </c>
      <c r="C5">
        <v>613784</v>
      </c>
      <c r="D5">
        <v>3272</v>
      </c>
      <c r="E5">
        <v>604465</v>
      </c>
      <c r="F5">
        <v>6047</v>
      </c>
      <c r="G5">
        <v>0.53</v>
      </c>
      <c r="H5">
        <v>98.48</v>
      </c>
      <c r="I5" t="s">
        <v>57</v>
      </c>
      <c r="J5">
        <v>0.99</v>
      </c>
      <c r="K5" t="s">
        <v>56</v>
      </c>
      <c r="L5">
        <v>35998752</v>
      </c>
    </row>
    <row r="6" spans="1:12" x14ac:dyDescent="0.3">
      <c r="A6" t="s">
        <v>18</v>
      </c>
      <c r="B6" t="s">
        <v>16</v>
      </c>
      <c r="C6">
        <v>726153</v>
      </c>
      <c r="D6">
        <v>29</v>
      </c>
      <c r="E6">
        <v>716462</v>
      </c>
      <c r="F6">
        <v>9662</v>
      </c>
      <c r="G6">
        <v>0</v>
      </c>
      <c r="H6">
        <v>98.67</v>
      </c>
      <c r="I6" t="s">
        <v>57</v>
      </c>
      <c r="J6">
        <v>1.33</v>
      </c>
      <c r="K6" t="s">
        <v>57</v>
      </c>
      <c r="L6">
        <v>128500364</v>
      </c>
    </row>
    <row r="7" spans="1:12" x14ac:dyDescent="0.3">
      <c r="A7" t="s">
        <v>19</v>
      </c>
      <c r="B7" t="s">
        <v>20</v>
      </c>
      <c r="C7">
        <v>65380</v>
      </c>
      <c r="D7">
        <v>24</v>
      </c>
      <c r="E7">
        <v>64536</v>
      </c>
      <c r="F7">
        <v>820</v>
      </c>
      <c r="G7">
        <v>0.04</v>
      </c>
      <c r="H7">
        <v>98.71</v>
      </c>
      <c r="I7" t="s">
        <v>57</v>
      </c>
      <c r="J7">
        <v>1.25</v>
      </c>
      <c r="K7" t="s">
        <v>56</v>
      </c>
      <c r="L7">
        <v>1158040</v>
      </c>
    </row>
    <row r="8" spans="1:12" x14ac:dyDescent="0.3">
      <c r="A8" t="s">
        <v>21</v>
      </c>
      <c r="B8" t="s">
        <v>16</v>
      </c>
      <c r="C8">
        <v>1006326</v>
      </c>
      <c r="D8">
        <v>230</v>
      </c>
      <c r="E8">
        <v>992508</v>
      </c>
      <c r="F8">
        <v>13588</v>
      </c>
      <c r="G8">
        <v>0.02</v>
      </c>
      <c r="H8">
        <v>98.63</v>
      </c>
      <c r="I8" t="s">
        <v>57</v>
      </c>
      <c r="J8">
        <v>1.35</v>
      </c>
      <c r="K8" t="s">
        <v>57</v>
      </c>
      <c r="L8">
        <v>32199722</v>
      </c>
    </row>
    <row r="9" spans="1:12" x14ac:dyDescent="0.3">
      <c r="A9" t="s">
        <v>22</v>
      </c>
      <c r="B9" t="s">
        <v>23</v>
      </c>
      <c r="C9">
        <v>10682</v>
      </c>
      <c r="D9">
        <v>0</v>
      </c>
      <c r="E9">
        <v>10678</v>
      </c>
      <c r="F9">
        <v>4</v>
      </c>
      <c r="G9">
        <v>0</v>
      </c>
      <c r="H9">
        <v>99.96</v>
      </c>
      <c r="I9" t="s">
        <v>57</v>
      </c>
      <c r="J9">
        <v>0.04</v>
      </c>
      <c r="K9" t="s">
        <v>56</v>
      </c>
      <c r="L9">
        <v>773997</v>
      </c>
    </row>
    <row r="10" spans="1:12" x14ac:dyDescent="0.3">
      <c r="A10" t="s">
        <v>24</v>
      </c>
      <c r="B10" t="s">
        <v>20</v>
      </c>
      <c r="C10">
        <v>1440388</v>
      </c>
      <c r="D10">
        <v>361</v>
      </c>
      <c r="E10">
        <v>1414934</v>
      </c>
      <c r="F10">
        <v>25093</v>
      </c>
      <c r="G10">
        <v>0.03</v>
      </c>
      <c r="H10">
        <v>98.23</v>
      </c>
      <c r="I10" t="s">
        <v>56</v>
      </c>
      <c r="J10">
        <v>1.74</v>
      </c>
      <c r="K10" t="s">
        <v>57</v>
      </c>
      <c r="L10">
        <v>19301096</v>
      </c>
    </row>
    <row r="11" spans="1:12" x14ac:dyDescent="0.3">
      <c r="A11" t="s">
        <v>25</v>
      </c>
      <c r="B11" t="s">
        <v>23</v>
      </c>
      <c r="C11">
        <v>178467</v>
      </c>
      <c r="D11">
        <v>263</v>
      </c>
      <c r="E11">
        <v>174830</v>
      </c>
      <c r="F11">
        <v>3374</v>
      </c>
      <c r="G11">
        <v>0.15</v>
      </c>
      <c r="H11">
        <v>97.96</v>
      </c>
      <c r="I11" t="s">
        <v>56</v>
      </c>
      <c r="J11">
        <v>1.89</v>
      </c>
      <c r="K11" t="s">
        <v>57</v>
      </c>
      <c r="L11">
        <v>1521992</v>
      </c>
    </row>
    <row r="12" spans="1:12" x14ac:dyDescent="0.3">
      <c r="A12" t="s">
        <v>26</v>
      </c>
      <c r="B12" t="s">
        <v>23</v>
      </c>
      <c r="C12">
        <v>826924</v>
      </c>
      <c r="D12">
        <v>226</v>
      </c>
      <c r="E12">
        <v>816608</v>
      </c>
      <c r="F12">
        <v>10090</v>
      </c>
      <c r="G12">
        <v>0.03</v>
      </c>
      <c r="H12">
        <v>98.75</v>
      </c>
      <c r="I12" t="s">
        <v>57</v>
      </c>
      <c r="J12">
        <v>1.22</v>
      </c>
      <c r="K12" t="s">
        <v>56</v>
      </c>
      <c r="L12">
        <v>70400153</v>
      </c>
    </row>
    <row r="13" spans="1:12" x14ac:dyDescent="0.3">
      <c r="A13" t="s">
        <v>27</v>
      </c>
      <c r="B13" t="s">
        <v>20</v>
      </c>
      <c r="C13">
        <v>771420</v>
      </c>
      <c r="D13">
        <v>140</v>
      </c>
      <c r="E13">
        <v>761230</v>
      </c>
      <c r="F13">
        <v>10050</v>
      </c>
      <c r="G13">
        <v>0.02</v>
      </c>
      <c r="H13">
        <v>98.68</v>
      </c>
      <c r="I13" t="s">
        <v>57</v>
      </c>
      <c r="J13">
        <v>1.3</v>
      </c>
      <c r="K13" t="s">
        <v>57</v>
      </c>
      <c r="L13">
        <v>28900667</v>
      </c>
    </row>
    <row r="14" spans="1:12" x14ac:dyDescent="0.3">
      <c r="A14" t="s">
        <v>28</v>
      </c>
      <c r="B14" t="s">
        <v>20</v>
      </c>
      <c r="C14">
        <v>225712</v>
      </c>
      <c r="D14">
        <v>1100</v>
      </c>
      <c r="E14">
        <v>220800</v>
      </c>
      <c r="F14">
        <v>3812</v>
      </c>
      <c r="G14">
        <v>0.49</v>
      </c>
      <c r="H14">
        <v>97.82</v>
      </c>
      <c r="I14" t="s">
        <v>56</v>
      </c>
      <c r="J14">
        <v>1.69</v>
      </c>
      <c r="K14" t="s">
        <v>57</v>
      </c>
      <c r="L14">
        <v>7503010</v>
      </c>
    </row>
    <row r="15" spans="1:12" x14ac:dyDescent="0.3">
      <c r="A15" t="s">
        <v>29</v>
      </c>
      <c r="B15" t="s">
        <v>20</v>
      </c>
      <c r="C15">
        <v>334006</v>
      </c>
      <c r="D15">
        <v>1450</v>
      </c>
      <c r="E15">
        <v>328108</v>
      </c>
      <c r="F15">
        <v>4448</v>
      </c>
      <c r="G15">
        <v>0.43</v>
      </c>
      <c r="H15">
        <v>98.23</v>
      </c>
      <c r="I15" t="s">
        <v>56</v>
      </c>
      <c r="J15">
        <v>1.33</v>
      </c>
      <c r="K15" t="s">
        <v>57</v>
      </c>
      <c r="L15">
        <v>14999397</v>
      </c>
    </row>
    <row r="16" spans="1:12" x14ac:dyDescent="0.3">
      <c r="A16" t="s">
        <v>30</v>
      </c>
      <c r="B16" t="s">
        <v>16</v>
      </c>
      <c r="C16">
        <v>348992</v>
      </c>
      <c r="D16">
        <v>141</v>
      </c>
      <c r="E16">
        <v>343713</v>
      </c>
      <c r="F16">
        <v>5138</v>
      </c>
      <c r="G16">
        <v>0.04</v>
      </c>
      <c r="H16">
        <v>98.49</v>
      </c>
      <c r="I16" t="s">
        <v>57</v>
      </c>
      <c r="J16">
        <v>1.47</v>
      </c>
      <c r="K16" t="s">
        <v>57</v>
      </c>
      <c r="L16">
        <v>40100376</v>
      </c>
    </row>
    <row r="17" spans="1:12" x14ac:dyDescent="0.3">
      <c r="A17" t="s">
        <v>31</v>
      </c>
      <c r="B17" t="s">
        <v>13</v>
      </c>
      <c r="C17">
        <v>2991614</v>
      </c>
      <c r="D17">
        <v>8056</v>
      </c>
      <c r="E17">
        <v>2945415</v>
      </c>
      <c r="F17">
        <v>38143</v>
      </c>
      <c r="G17">
        <v>0.27</v>
      </c>
      <c r="H17">
        <v>98.46</v>
      </c>
      <c r="I17" t="s">
        <v>57</v>
      </c>
      <c r="J17">
        <v>1.27</v>
      </c>
      <c r="K17" t="s">
        <v>56</v>
      </c>
      <c r="L17">
        <v>69599762</v>
      </c>
    </row>
    <row r="18" spans="1:12" x14ac:dyDescent="0.3">
      <c r="A18" t="s">
        <v>32</v>
      </c>
      <c r="B18" t="s">
        <v>13</v>
      </c>
      <c r="C18">
        <v>5055224</v>
      </c>
      <c r="D18">
        <v>69258</v>
      </c>
      <c r="E18">
        <v>4950281</v>
      </c>
      <c r="F18">
        <v>35685</v>
      </c>
      <c r="G18">
        <v>1.37</v>
      </c>
      <c r="H18">
        <v>97.92</v>
      </c>
      <c r="I18" t="s">
        <v>56</v>
      </c>
      <c r="J18">
        <v>0.71</v>
      </c>
      <c r="K18" t="s">
        <v>56</v>
      </c>
      <c r="L18">
        <v>34698876</v>
      </c>
    </row>
    <row r="19" spans="1:12" x14ac:dyDescent="0.3">
      <c r="A19" t="s">
        <v>33</v>
      </c>
      <c r="B19" t="s">
        <v>20</v>
      </c>
      <c r="C19">
        <v>21148</v>
      </c>
      <c r="D19">
        <v>154</v>
      </c>
      <c r="E19">
        <v>20783</v>
      </c>
      <c r="F19">
        <v>211</v>
      </c>
      <c r="G19">
        <v>0.73</v>
      </c>
      <c r="H19">
        <v>98.27</v>
      </c>
      <c r="I19" t="s">
        <v>56</v>
      </c>
      <c r="J19">
        <v>1</v>
      </c>
      <c r="K19" t="s">
        <v>56</v>
      </c>
      <c r="L19">
        <v>290492</v>
      </c>
    </row>
    <row r="20" spans="1:12" x14ac:dyDescent="0.3">
      <c r="A20" t="s">
        <v>34</v>
      </c>
      <c r="B20" t="s">
        <v>13</v>
      </c>
      <c r="C20">
        <v>10365</v>
      </c>
      <c r="D20">
        <v>0</v>
      </c>
      <c r="E20">
        <v>10314</v>
      </c>
      <c r="F20">
        <v>51</v>
      </c>
      <c r="G20">
        <v>0</v>
      </c>
      <c r="H20">
        <v>99.51</v>
      </c>
      <c r="I20" t="s">
        <v>57</v>
      </c>
      <c r="J20">
        <v>0.49</v>
      </c>
      <c r="K20" t="s">
        <v>56</v>
      </c>
      <c r="L20">
        <v>66001</v>
      </c>
    </row>
    <row r="21" spans="1:12" x14ac:dyDescent="0.3">
      <c r="A21" t="s">
        <v>35</v>
      </c>
      <c r="B21" t="s">
        <v>23</v>
      </c>
      <c r="C21">
        <v>792956</v>
      </c>
      <c r="D21">
        <v>75</v>
      </c>
      <c r="E21">
        <v>782357</v>
      </c>
      <c r="F21">
        <v>10524</v>
      </c>
      <c r="G21">
        <v>0.01</v>
      </c>
      <c r="H21">
        <v>98.66</v>
      </c>
      <c r="I21" t="s">
        <v>57</v>
      </c>
      <c r="J21">
        <v>1.33</v>
      </c>
      <c r="K21" t="s">
        <v>57</v>
      </c>
      <c r="L21">
        <v>85002417</v>
      </c>
    </row>
    <row r="22" spans="1:12" x14ac:dyDescent="0.3">
      <c r="A22" t="s">
        <v>36</v>
      </c>
      <c r="B22" t="s">
        <v>23</v>
      </c>
      <c r="C22">
        <v>6623344</v>
      </c>
      <c r="D22">
        <v>15866</v>
      </c>
      <c r="E22">
        <v>6466913</v>
      </c>
      <c r="F22">
        <v>140565</v>
      </c>
      <c r="G22">
        <v>0.24</v>
      </c>
      <c r="H22">
        <v>97.64</v>
      </c>
      <c r="I22" t="s">
        <v>56</v>
      </c>
      <c r="J22">
        <v>2.12</v>
      </c>
      <c r="K22" t="s">
        <v>57</v>
      </c>
      <c r="L22">
        <v>124904071</v>
      </c>
    </row>
    <row r="23" spans="1:12" x14ac:dyDescent="0.3">
      <c r="A23" t="s">
        <v>37</v>
      </c>
      <c r="B23" t="s">
        <v>16</v>
      </c>
      <c r="C23">
        <v>124432</v>
      </c>
      <c r="D23">
        <v>799</v>
      </c>
      <c r="E23">
        <v>121687</v>
      </c>
      <c r="F23">
        <v>1946</v>
      </c>
      <c r="G23">
        <v>0.64</v>
      </c>
      <c r="H23">
        <v>97.79</v>
      </c>
      <c r="I23" t="s">
        <v>56</v>
      </c>
      <c r="J23">
        <v>1.56</v>
      </c>
      <c r="K23" t="s">
        <v>57</v>
      </c>
      <c r="L23">
        <v>3436948</v>
      </c>
    </row>
    <row r="24" spans="1:12" x14ac:dyDescent="0.3">
      <c r="A24" t="s">
        <v>38</v>
      </c>
      <c r="B24" t="s">
        <v>16</v>
      </c>
      <c r="C24">
        <v>84013</v>
      </c>
      <c r="D24">
        <v>277</v>
      </c>
      <c r="E24">
        <v>82274</v>
      </c>
      <c r="F24">
        <v>1462</v>
      </c>
      <c r="G24">
        <v>0.33</v>
      </c>
      <c r="H24">
        <v>97.93</v>
      </c>
      <c r="I24" t="s">
        <v>56</v>
      </c>
      <c r="J24">
        <v>1.74</v>
      </c>
      <c r="K24" t="s">
        <v>57</v>
      </c>
      <c r="L24">
        <v>3772103</v>
      </c>
    </row>
    <row r="25" spans="1:12" x14ac:dyDescent="0.3">
      <c r="A25" t="s">
        <v>39</v>
      </c>
      <c r="B25" t="s">
        <v>16</v>
      </c>
      <c r="C25">
        <v>128604</v>
      </c>
      <c r="D25">
        <v>5651</v>
      </c>
      <c r="E25">
        <v>122494</v>
      </c>
      <c r="F25">
        <v>459</v>
      </c>
      <c r="G25">
        <v>4.3899999999999997</v>
      </c>
      <c r="H25">
        <v>95.25</v>
      </c>
      <c r="I25" t="s">
        <v>56</v>
      </c>
      <c r="J25">
        <v>0.36</v>
      </c>
      <c r="K25" t="s">
        <v>56</v>
      </c>
      <c r="L25">
        <v>1308967</v>
      </c>
    </row>
    <row r="26" spans="1:12" x14ac:dyDescent="0.3">
      <c r="A26" t="s">
        <v>40</v>
      </c>
      <c r="B26" t="s">
        <v>16</v>
      </c>
      <c r="C26">
        <v>31978</v>
      </c>
      <c r="D26">
        <v>163</v>
      </c>
      <c r="E26">
        <v>31123</v>
      </c>
      <c r="F26">
        <v>692</v>
      </c>
      <c r="G26">
        <v>0.51</v>
      </c>
      <c r="H26">
        <v>97.33</v>
      </c>
      <c r="I26" t="s">
        <v>56</v>
      </c>
      <c r="J26">
        <v>2.16</v>
      </c>
      <c r="K26" t="s">
        <v>57</v>
      </c>
      <c r="L26">
        <v>2073074</v>
      </c>
    </row>
    <row r="27" spans="1:12" x14ac:dyDescent="0.3">
      <c r="A27" t="s">
        <v>41</v>
      </c>
      <c r="B27" t="s">
        <v>16</v>
      </c>
      <c r="C27">
        <v>1045209</v>
      </c>
      <c r="D27">
        <v>2534</v>
      </c>
      <c r="E27">
        <v>1034300</v>
      </c>
      <c r="F27">
        <v>8375</v>
      </c>
      <c r="G27">
        <v>0.24</v>
      </c>
      <c r="H27">
        <v>98.96</v>
      </c>
      <c r="I27" t="s">
        <v>57</v>
      </c>
      <c r="J27">
        <v>0.8</v>
      </c>
      <c r="K27" t="s">
        <v>56</v>
      </c>
      <c r="L27">
        <v>47099270</v>
      </c>
    </row>
    <row r="28" spans="1:12" x14ac:dyDescent="0.3">
      <c r="A28" t="s">
        <v>42</v>
      </c>
      <c r="B28" t="s">
        <v>13</v>
      </c>
      <c r="C28">
        <v>128401</v>
      </c>
      <c r="D28">
        <v>275</v>
      </c>
      <c r="E28">
        <v>126263</v>
      </c>
      <c r="F28">
        <v>1863</v>
      </c>
      <c r="G28">
        <v>0.21</v>
      </c>
      <c r="H28">
        <v>98.33</v>
      </c>
      <c r="I28" t="s">
        <v>56</v>
      </c>
      <c r="J28">
        <v>1.45</v>
      </c>
      <c r="K28" t="s">
        <v>57</v>
      </c>
      <c r="L28">
        <v>1646050</v>
      </c>
    </row>
    <row r="29" spans="1:12" x14ac:dyDescent="0.3">
      <c r="A29" t="s">
        <v>43</v>
      </c>
      <c r="B29" t="s">
        <v>20</v>
      </c>
      <c r="C29">
        <v>602778</v>
      </c>
      <c r="D29">
        <v>318</v>
      </c>
      <c r="E29">
        <v>585889</v>
      </c>
      <c r="F29">
        <v>16571</v>
      </c>
      <c r="G29">
        <v>0.05</v>
      </c>
      <c r="H29">
        <v>97.2</v>
      </c>
      <c r="I29" t="s">
        <v>56</v>
      </c>
      <c r="J29">
        <v>2.75</v>
      </c>
      <c r="K29" t="s">
        <v>57</v>
      </c>
      <c r="L29">
        <v>30501026</v>
      </c>
    </row>
    <row r="30" spans="1:12" x14ac:dyDescent="0.3">
      <c r="A30" t="s">
        <v>44</v>
      </c>
      <c r="B30" t="s">
        <v>23</v>
      </c>
      <c r="C30">
        <v>954503</v>
      </c>
      <c r="D30">
        <v>71</v>
      </c>
      <c r="E30">
        <v>945478</v>
      </c>
      <c r="F30">
        <v>8954</v>
      </c>
      <c r="G30">
        <v>0.01</v>
      </c>
      <c r="H30">
        <v>99.05</v>
      </c>
      <c r="I30" t="s">
        <v>57</v>
      </c>
      <c r="J30">
        <v>0.94</v>
      </c>
      <c r="K30" t="s">
        <v>56</v>
      </c>
      <c r="L30">
        <v>79502477</v>
      </c>
    </row>
    <row r="31" spans="1:12" x14ac:dyDescent="0.3">
      <c r="A31" t="s">
        <v>45</v>
      </c>
      <c r="B31" t="s">
        <v>16</v>
      </c>
      <c r="C31">
        <v>32096</v>
      </c>
      <c r="D31">
        <v>121</v>
      </c>
      <c r="E31">
        <v>31575</v>
      </c>
      <c r="F31">
        <v>400</v>
      </c>
      <c r="G31">
        <v>0.38</v>
      </c>
      <c r="H31">
        <v>98.38</v>
      </c>
      <c r="I31" t="s">
        <v>57</v>
      </c>
      <c r="J31">
        <v>1.25</v>
      </c>
      <c r="K31" t="s">
        <v>56</v>
      </c>
      <c r="L31">
        <v>658019</v>
      </c>
    </row>
    <row r="32" spans="1:12" x14ac:dyDescent="0.3">
      <c r="A32" t="s">
        <v>46</v>
      </c>
      <c r="B32" t="s">
        <v>13</v>
      </c>
      <c r="C32">
        <v>2714025</v>
      </c>
      <c r="D32">
        <v>9751</v>
      </c>
      <c r="E32">
        <v>2668001</v>
      </c>
      <c r="F32">
        <v>36273</v>
      </c>
      <c r="G32">
        <v>0.36</v>
      </c>
      <c r="H32">
        <v>98.3</v>
      </c>
      <c r="I32" t="s">
        <v>56</v>
      </c>
      <c r="J32">
        <v>1.34</v>
      </c>
      <c r="K32" t="s">
        <v>57</v>
      </c>
      <c r="L32">
        <v>83697770</v>
      </c>
    </row>
    <row r="33" spans="1:12" x14ac:dyDescent="0.3">
      <c r="A33" t="s">
        <v>47</v>
      </c>
      <c r="B33" t="s">
        <v>13</v>
      </c>
      <c r="C33">
        <v>673469</v>
      </c>
      <c r="D33">
        <v>3741</v>
      </c>
      <c r="E33">
        <v>665755</v>
      </c>
      <c r="F33">
        <v>3973</v>
      </c>
      <c r="G33">
        <v>0.56000000000000005</v>
      </c>
      <c r="H33">
        <v>98.85</v>
      </c>
      <c r="I33" t="s">
        <v>57</v>
      </c>
      <c r="J33">
        <v>0.59</v>
      </c>
      <c r="K33" t="s">
        <v>56</v>
      </c>
      <c r="L33">
        <v>38157311</v>
      </c>
    </row>
    <row r="34" spans="1:12" x14ac:dyDescent="0.3">
      <c r="A34" t="s">
        <v>48</v>
      </c>
      <c r="B34" t="s">
        <v>16</v>
      </c>
      <c r="C34">
        <v>84665</v>
      </c>
      <c r="D34">
        <v>116</v>
      </c>
      <c r="E34">
        <v>83732</v>
      </c>
      <c r="F34">
        <v>817</v>
      </c>
      <c r="G34">
        <v>0.14000000000000001</v>
      </c>
      <c r="H34">
        <v>98.9</v>
      </c>
      <c r="I34" t="s">
        <v>57</v>
      </c>
      <c r="J34">
        <v>0.96</v>
      </c>
      <c r="K34" t="s">
        <v>56</v>
      </c>
      <c r="L34">
        <v>4184959</v>
      </c>
    </row>
    <row r="35" spans="1:12" x14ac:dyDescent="0.3">
      <c r="A35" t="s">
        <v>49</v>
      </c>
      <c r="B35" t="s">
        <v>20</v>
      </c>
      <c r="C35">
        <v>1710261</v>
      </c>
      <c r="D35">
        <v>90</v>
      </c>
      <c r="E35">
        <v>1687262</v>
      </c>
      <c r="F35">
        <v>22909</v>
      </c>
      <c r="G35">
        <v>0.01</v>
      </c>
      <c r="H35">
        <v>98.66</v>
      </c>
      <c r="I35" t="s">
        <v>57</v>
      </c>
      <c r="J35">
        <v>1.34</v>
      </c>
      <c r="K35" t="s">
        <v>57</v>
      </c>
      <c r="L35">
        <v>231502578</v>
      </c>
    </row>
    <row r="36" spans="1:12" x14ac:dyDescent="0.3">
      <c r="A36" t="s">
        <v>50</v>
      </c>
      <c r="B36" t="s">
        <v>20</v>
      </c>
      <c r="C36">
        <v>344014</v>
      </c>
      <c r="D36">
        <v>158</v>
      </c>
      <c r="E36">
        <v>336453</v>
      </c>
      <c r="F36">
        <v>7403</v>
      </c>
      <c r="G36">
        <v>0.05</v>
      </c>
      <c r="H36">
        <v>97.8</v>
      </c>
      <c r="I36" t="s">
        <v>56</v>
      </c>
      <c r="J36">
        <v>2.15</v>
      </c>
      <c r="K36" t="s">
        <v>57</v>
      </c>
      <c r="L36">
        <v>11700099</v>
      </c>
    </row>
    <row r="37" spans="1:12" x14ac:dyDescent="0.3">
      <c r="A37" t="s">
        <v>51</v>
      </c>
      <c r="B37" t="s">
        <v>16</v>
      </c>
      <c r="C37">
        <v>1603318</v>
      </c>
      <c r="D37">
        <v>8031</v>
      </c>
      <c r="E37">
        <v>1575980</v>
      </c>
      <c r="F37">
        <v>19307</v>
      </c>
      <c r="G37">
        <v>0.5</v>
      </c>
      <c r="H37">
        <v>98.29</v>
      </c>
      <c r="I37" t="s">
        <v>56</v>
      </c>
      <c r="J37">
        <v>1.2</v>
      </c>
      <c r="K37" t="s">
        <v>56</v>
      </c>
      <c r="L37">
        <v>100896618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Zone-Wise-Discharge-Ratio</vt:lpstr>
      <vt:lpstr>State-Wise-Death_ratio</vt:lpstr>
      <vt:lpstr>State-Wise-Population</vt:lpstr>
      <vt:lpstr>Zone-Wise-Population</vt:lpstr>
      <vt:lpstr>Zone_wise_death</vt:lpstr>
      <vt:lpstr>State_wise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Suhas</dc:creator>
  <cp:lastModifiedBy>Dell</cp:lastModifiedBy>
  <dcterms:created xsi:type="dcterms:W3CDTF">2015-06-05T18:17:20Z</dcterms:created>
  <dcterms:modified xsi:type="dcterms:W3CDTF">2025-09-26T16:02:16Z</dcterms:modified>
</cp:coreProperties>
</file>